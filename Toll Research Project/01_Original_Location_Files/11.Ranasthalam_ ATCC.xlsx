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urup\Desktop\Satra ATCC\Ranasthalam\"/>
    </mc:Choice>
  </mc:AlternateContent>
  <bookViews>
    <workbookView xWindow="0" yWindow="0" windowWidth="21576" windowHeight="7512" tabRatio="819"/>
  </bookViews>
  <sheets>
    <sheet name="Day-1" sheetId="1" r:id="rId1"/>
    <sheet name="Day-2" sheetId="13" r:id="rId2"/>
    <sheet name="Day-3" sheetId="14" r:id="rId3"/>
    <sheet name="Day-4" sheetId="15" r:id="rId4"/>
    <sheet name="Day-5" sheetId="16" r:id="rId5"/>
    <sheet name="Day-6" sheetId="17" r:id="rId6"/>
    <sheet name="Day-7" sheetId="18" r:id="rId7"/>
    <sheet name="ADT" sheetId="8" r:id="rId8"/>
    <sheet name="Tables" sheetId="12" r:id="rId9"/>
    <sheet name="Charts" sheetId="10" r:id="rId10"/>
    <sheet name="ADT Directionwise" sheetId="21" r:id="rId11"/>
    <sheet name="ADT Summary" sheetId="20" r:id="rId12"/>
    <sheet name="Info" sheetId="19" r:id="rId13"/>
    <sheet name="Sheet1" sheetId="22" r:id="rId14"/>
    <sheet name="Summary Direction wise" sheetId="23" r:id="rId15"/>
  </sheets>
  <definedNames>
    <definedName name="_xlnm.Print_Area" localSheetId="7">ADT!$A$37:$V$60</definedName>
  </definedNames>
  <calcPr calcId="152511"/>
</workbook>
</file>

<file path=xl/calcChain.xml><?xml version="1.0" encoding="utf-8"?>
<calcChain xmlns="http://schemas.openxmlformats.org/spreadsheetml/2006/main">
  <c r="AK5" i="13" l="1"/>
  <c r="R39" i="1"/>
  <c r="A8" i="20" l="1"/>
  <c r="R39" i="18"/>
  <c r="AK5" i="18"/>
  <c r="Q39" i="18"/>
  <c r="AJ5" i="18"/>
  <c r="R39" i="17"/>
  <c r="AK5" i="17"/>
  <c r="Q39" i="17"/>
  <c r="AJ5" i="17"/>
  <c r="Q39" i="16"/>
  <c r="R39" i="16"/>
  <c r="AK5" i="16"/>
  <c r="AJ5" i="16"/>
  <c r="R39" i="15"/>
  <c r="Q39" i="15"/>
  <c r="AK5" i="15"/>
  <c r="AJ5" i="15"/>
  <c r="R39" i="14"/>
  <c r="AK5" i="14"/>
  <c r="Q39" i="14"/>
  <c r="AJ5" i="14"/>
  <c r="R39" i="13"/>
  <c r="Q39" i="13"/>
  <c r="B5" i="13"/>
  <c r="B39" i="13" s="1"/>
  <c r="B39" i="1"/>
  <c r="AK5" i="1"/>
  <c r="X5" i="1"/>
  <c r="B5" i="14" l="1"/>
  <c r="B39" i="14" s="1"/>
  <c r="X5" i="13"/>
  <c r="F29" i="22"/>
  <c r="B29" i="12"/>
  <c r="A31" i="8"/>
  <c r="A11" i="13"/>
  <c r="A11" i="14" s="1"/>
  <c r="A12" i="13"/>
  <c r="A12" i="14" s="1"/>
  <c r="A13" i="13"/>
  <c r="A13" i="14" s="1"/>
  <c r="A14" i="13"/>
  <c r="A14" i="14" s="1"/>
  <c r="A15" i="13"/>
  <c r="A15" i="14" s="1"/>
  <c r="A16" i="13"/>
  <c r="A16" i="14" s="1"/>
  <c r="A17" i="13"/>
  <c r="A17" i="14" s="1"/>
  <c r="A18" i="13"/>
  <c r="A18" i="14" s="1"/>
  <c r="A19" i="13"/>
  <c r="A19" i="14" s="1"/>
  <c r="A20" i="13"/>
  <c r="A20" i="14" s="1"/>
  <c r="A21" i="13"/>
  <c r="A21" i="14" s="1"/>
  <c r="A22" i="13"/>
  <c r="A22" i="14" s="1"/>
  <c r="A23" i="13"/>
  <c r="A23" i="14" s="1"/>
  <c r="A24" i="13"/>
  <c r="A24" i="14" s="1"/>
  <c r="A25" i="13"/>
  <c r="A25" i="14" s="1"/>
  <c r="A26" i="13"/>
  <c r="A26" i="14" s="1"/>
  <c r="A27" i="13"/>
  <c r="A27" i="14" s="1"/>
  <c r="A28" i="13"/>
  <c r="A28" i="14" s="1"/>
  <c r="A29" i="13"/>
  <c r="A29" i="14" s="1"/>
  <c r="A30" i="13"/>
  <c r="A64" i="13" s="1"/>
  <c r="A31" i="13"/>
  <c r="A31" i="14" s="1"/>
  <c r="A32" i="13"/>
  <c r="A32" i="14" s="1"/>
  <c r="A33" i="13"/>
  <c r="A33" i="14" s="1"/>
  <c r="A10" i="13"/>
  <c r="A10" i="14" s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44" i="1"/>
  <c r="B40" i="13"/>
  <c r="B40" i="14" s="1"/>
  <c r="B40" i="15" s="1"/>
  <c r="B40" i="16" s="1"/>
  <c r="B40" i="17" s="1"/>
  <c r="B40" i="18" s="1"/>
  <c r="B6" i="13"/>
  <c r="B6" i="14" s="1"/>
  <c r="B6" i="15" s="1"/>
  <c r="B6" i="16" s="1"/>
  <c r="B6" i="17" s="1"/>
  <c r="B6" i="18" s="1"/>
  <c r="X5" i="14" l="1"/>
  <c r="B5" i="15"/>
  <c r="A20" i="15"/>
  <c r="A54" i="14"/>
  <c r="A11" i="15"/>
  <c r="A45" i="14"/>
  <c r="A56" i="14"/>
  <c r="A22" i="15"/>
  <c r="A29" i="15"/>
  <c r="A63" i="14"/>
  <c r="A28" i="15"/>
  <c r="A62" i="14"/>
  <c r="A27" i="15"/>
  <c r="A61" i="14"/>
  <c r="A10" i="15"/>
  <c r="A44" i="14"/>
  <c r="A18" i="15"/>
  <c r="A52" i="14"/>
  <c r="A14" i="15"/>
  <c r="A48" i="14"/>
  <c r="A13" i="15"/>
  <c r="A47" i="14"/>
  <c r="A26" i="15"/>
  <c r="A60" i="14"/>
  <c r="A17" i="15"/>
  <c r="A51" i="14"/>
  <c r="A21" i="15"/>
  <c r="A55" i="14"/>
  <c r="A12" i="15"/>
  <c r="A46" i="14"/>
  <c r="A19" i="15"/>
  <c r="A53" i="14"/>
  <c r="A33" i="15"/>
  <c r="A67" i="14"/>
  <c r="A16" i="15"/>
  <c r="A50" i="14"/>
  <c r="A25" i="15"/>
  <c r="A59" i="14"/>
  <c r="A32" i="15"/>
  <c r="A66" i="14"/>
  <c r="A24" i="15"/>
  <c r="A58" i="14"/>
  <c r="A31" i="15"/>
  <c r="A65" i="14"/>
  <c r="A23" i="15"/>
  <c r="A57" i="14"/>
  <c r="A15" i="15"/>
  <c r="A49" i="14"/>
  <c r="A56" i="13"/>
  <c r="A63" i="13"/>
  <c r="A55" i="13"/>
  <c r="A47" i="13"/>
  <c r="A48" i="13"/>
  <c r="A62" i="13"/>
  <c r="A54" i="13"/>
  <c r="A46" i="13"/>
  <c r="A30" i="14"/>
  <c r="A61" i="13"/>
  <c r="A53" i="13"/>
  <c r="A45" i="13"/>
  <c r="A44" i="13"/>
  <c r="A60" i="13"/>
  <c r="A52" i="13"/>
  <c r="A67" i="13"/>
  <c r="A59" i="13"/>
  <c r="A51" i="13"/>
  <c r="A66" i="13"/>
  <c r="A58" i="13"/>
  <c r="A50" i="13"/>
  <c r="A65" i="13"/>
  <c r="A57" i="13"/>
  <c r="A49" i="13"/>
  <c r="A39" i="1"/>
  <c r="X5" i="15" l="1"/>
  <c r="B5" i="16"/>
  <c r="B39" i="15"/>
  <c r="A33" i="16"/>
  <c r="A67" i="15"/>
  <c r="A56" i="15"/>
  <c r="A22" i="16"/>
  <c r="A29" i="16"/>
  <c r="A63" i="15"/>
  <c r="A10" i="16"/>
  <c r="A44" i="15"/>
  <c r="A15" i="16"/>
  <c r="A49" i="15"/>
  <c r="A24" i="16"/>
  <c r="A58" i="15"/>
  <c r="A32" i="16"/>
  <c r="A66" i="15"/>
  <c r="A23" i="16"/>
  <c r="A57" i="15"/>
  <c r="A25" i="16"/>
  <c r="A59" i="15"/>
  <c r="A12" i="16"/>
  <c r="A46" i="15"/>
  <c r="A13" i="16"/>
  <c r="A47" i="15"/>
  <c r="A27" i="16"/>
  <c r="A61" i="15"/>
  <c r="A11" i="16"/>
  <c r="A45" i="15"/>
  <c r="A30" i="15"/>
  <c r="A64" i="14"/>
  <c r="A18" i="16"/>
  <c r="A52" i="15"/>
  <c r="A26" i="16"/>
  <c r="A60" i="15"/>
  <c r="A17" i="16"/>
  <c r="A51" i="15"/>
  <c r="A19" i="16"/>
  <c r="A53" i="15"/>
  <c r="A31" i="16"/>
  <c r="A65" i="15"/>
  <c r="A16" i="16"/>
  <c r="A50" i="15"/>
  <c r="A21" i="16"/>
  <c r="A55" i="15"/>
  <c r="A48" i="15"/>
  <c r="A14" i="16"/>
  <c r="A28" i="16"/>
  <c r="A62" i="15"/>
  <c r="A20" i="16"/>
  <c r="A54" i="15"/>
  <c r="H32" i="23"/>
  <c r="F32" i="23"/>
  <c r="X5" i="16" l="1"/>
  <c r="B5" i="17"/>
  <c r="B39" i="16"/>
  <c r="A26" i="17"/>
  <c r="A60" i="16"/>
  <c r="A28" i="17"/>
  <c r="A62" i="16"/>
  <c r="A13" i="17"/>
  <c r="A47" i="16"/>
  <c r="A32" i="17"/>
  <c r="A66" i="16"/>
  <c r="A29" i="17"/>
  <c r="A63" i="16"/>
  <c r="A27" i="17"/>
  <c r="A61" i="16"/>
  <c r="A22" i="17"/>
  <c r="A56" i="16"/>
  <c r="A23" i="17"/>
  <c r="A57" i="16"/>
  <c r="A18" i="17"/>
  <c r="A52" i="16"/>
  <c r="A30" i="16"/>
  <c r="A64" i="15"/>
  <c r="A16" i="17"/>
  <c r="A50" i="16"/>
  <c r="A19" i="17"/>
  <c r="A53" i="16"/>
  <c r="A12" i="17"/>
  <c r="A46" i="16"/>
  <c r="A24" i="17"/>
  <c r="A58" i="16"/>
  <c r="A20" i="17"/>
  <c r="A54" i="16"/>
  <c r="A10" i="17"/>
  <c r="A44" i="16"/>
  <c r="A31" i="17"/>
  <c r="A65" i="16"/>
  <c r="A48" i="16"/>
  <c r="A14" i="17"/>
  <c r="A21" i="17"/>
  <c r="A55" i="16"/>
  <c r="A17" i="17"/>
  <c r="A51" i="16"/>
  <c r="A11" i="17"/>
  <c r="A45" i="16"/>
  <c r="A25" i="17"/>
  <c r="A59" i="16"/>
  <c r="A15" i="17"/>
  <c r="A49" i="16"/>
  <c r="A33" i="17"/>
  <c r="A67" i="16"/>
  <c r="E68" i="16"/>
  <c r="B39" i="18" l="1"/>
  <c r="B5" i="18"/>
  <c r="X5" i="17"/>
  <c r="B39" i="17"/>
  <c r="A33" i="18"/>
  <c r="A67" i="17"/>
  <c r="A32" i="18"/>
  <c r="A66" i="17"/>
  <c r="A13" i="18"/>
  <c r="A47" i="17"/>
  <c r="A19" i="18"/>
  <c r="A53" i="17"/>
  <c r="A21" i="18"/>
  <c r="A55" i="17"/>
  <c r="A14" i="18"/>
  <c r="A48" i="17"/>
  <c r="A17" i="18"/>
  <c r="A51" i="17"/>
  <c r="A15" i="18"/>
  <c r="A49" i="17"/>
  <c r="A56" i="17"/>
  <c r="A22" i="18"/>
  <c r="A25" i="18"/>
  <c r="A59" i="17"/>
  <c r="A24" i="18"/>
  <c r="A58" i="17"/>
  <c r="A30" i="17"/>
  <c r="A64" i="16"/>
  <c r="A27" i="18"/>
  <c r="A61" i="17"/>
  <c r="A28" i="18"/>
  <c r="A62" i="17"/>
  <c r="A23" i="18"/>
  <c r="A57" i="17"/>
  <c r="A16" i="18"/>
  <c r="A50" i="17"/>
  <c r="A10" i="18"/>
  <c r="A44" i="17"/>
  <c r="A20" i="18"/>
  <c r="A54" i="17"/>
  <c r="A11" i="18"/>
  <c r="A45" i="17"/>
  <c r="A31" i="18"/>
  <c r="A65" i="17"/>
  <c r="A12" i="18"/>
  <c r="A46" i="17"/>
  <c r="A18" i="18"/>
  <c r="A52" i="17"/>
  <c r="A29" i="18"/>
  <c r="A63" i="17"/>
  <c r="A26" i="18"/>
  <c r="A60" i="17"/>
  <c r="R66" i="1"/>
  <c r="X5" i="18" l="1"/>
  <c r="A44" i="8"/>
  <c r="A65" i="18"/>
  <c r="A28" i="8"/>
  <c r="A52" i="10"/>
  <c r="A30" i="18"/>
  <c r="A64" i="17"/>
  <c r="A34" i="10"/>
  <c r="A10" i="8"/>
  <c r="A47" i="18"/>
  <c r="A40" i="10"/>
  <c r="A16" i="8"/>
  <c r="A53" i="18"/>
  <c r="A57" i="18"/>
  <c r="A20" i="8"/>
  <c r="A44" i="10"/>
  <c r="A47" i="10"/>
  <c r="A23" i="8"/>
  <c r="A60" i="18"/>
  <c r="A50" i="10"/>
  <c r="A26" i="8"/>
  <c r="A63" i="18"/>
  <c r="A14" i="8"/>
  <c r="A51" i="18"/>
  <c r="A38" i="10"/>
  <c r="A39" i="10"/>
  <c r="A15" i="8"/>
  <c r="A52" i="18"/>
  <c r="A29" i="8"/>
  <c r="A66" i="18"/>
  <c r="A53" i="10"/>
  <c r="A13" i="8"/>
  <c r="A50" i="18"/>
  <c r="A37" i="10"/>
  <c r="A41" i="10"/>
  <c r="A17" i="8"/>
  <c r="A54" i="18"/>
  <c r="A22" i="8"/>
  <c r="A59" i="18"/>
  <c r="A46" i="10"/>
  <c r="A43" i="10"/>
  <c r="A56" i="18"/>
  <c r="A19" i="8"/>
  <c r="A49" i="18"/>
  <c r="A12" i="8"/>
  <c r="A36" i="10"/>
  <c r="A32" i="10"/>
  <c r="A8" i="8"/>
  <c r="A45" i="18"/>
  <c r="A21" i="8"/>
  <c r="A58" i="18"/>
  <c r="A45" i="10"/>
  <c r="A49" i="10"/>
  <c r="A25" i="8"/>
  <c r="A62" i="18"/>
  <c r="A48" i="18"/>
  <c r="A35" i="10"/>
  <c r="A11" i="8"/>
  <c r="A33" i="10"/>
  <c r="A9" i="8"/>
  <c r="A46" i="18"/>
  <c r="A31" i="10"/>
  <c r="A7" i="8"/>
  <c r="A44" i="18"/>
  <c r="A48" i="10"/>
  <c r="A24" i="8"/>
  <c r="A61" i="18"/>
  <c r="A42" i="10"/>
  <c r="A18" i="8"/>
  <c r="A55" i="18"/>
  <c r="A30" i="8"/>
  <c r="A67" i="18"/>
  <c r="A54" i="10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A64" i="18" l="1"/>
  <c r="A51" i="10"/>
  <c r="A27" i="8"/>
  <c r="N34" i="15"/>
  <c r="R12" i="13" l="1"/>
  <c r="F34" i="1" l="1"/>
  <c r="B34" i="1"/>
  <c r="J34" i="1" l="1"/>
  <c r="M34" i="1" l="1"/>
  <c r="J34" i="16" l="1"/>
  <c r="K68" i="15" l="1"/>
  <c r="J68" i="15"/>
  <c r="H68" i="15"/>
  <c r="G68" i="15"/>
  <c r="F68" i="15"/>
  <c r="E68" i="15"/>
  <c r="D68" i="15"/>
  <c r="C68" i="15"/>
  <c r="B68" i="15"/>
  <c r="B23" i="21" s="1"/>
  <c r="B14" i="23" s="1"/>
  <c r="Y11" i="14"/>
  <c r="Y12" i="14"/>
  <c r="Y13" i="14"/>
  <c r="Y14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10" i="14"/>
  <c r="E34" i="13"/>
  <c r="H34" i="14" l="1"/>
  <c r="G34" i="14"/>
  <c r="F34" i="14"/>
  <c r="F68" i="18" l="1"/>
  <c r="J68" i="18"/>
  <c r="E34" i="1" l="1"/>
  <c r="Q10" i="1" l="1"/>
  <c r="Q11" i="1"/>
  <c r="Q12" i="1"/>
  <c r="Q13" i="1"/>
  <c r="Q14" i="1"/>
  <c r="Q15" i="1"/>
  <c r="Q16" i="1"/>
  <c r="Q17" i="1"/>
  <c r="Q18" i="1"/>
  <c r="Q19" i="1"/>
  <c r="M68" i="16" l="1"/>
  <c r="M68" i="15"/>
  <c r="L68" i="15"/>
  <c r="U44" i="14" l="1"/>
  <c r="U45" i="14"/>
  <c r="U46" i="14"/>
  <c r="U47" i="14"/>
  <c r="U48" i="14"/>
  <c r="U49" i="14"/>
  <c r="U50" i="14"/>
  <c r="U51" i="14"/>
  <c r="U52" i="14"/>
  <c r="U53" i="14"/>
  <c r="U54" i="14"/>
  <c r="U55" i="14"/>
  <c r="U56" i="14"/>
  <c r="U57" i="14"/>
  <c r="U58" i="14"/>
  <c r="U59" i="14"/>
  <c r="U60" i="14"/>
  <c r="U61" i="14"/>
  <c r="U62" i="14"/>
  <c r="U63" i="14"/>
  <c r="U64" i="14"/>
  <c r="U65" i="14"/>
  <c r="U66" i="14"/>
  <c r="U67" i="14"/>
  <c r="V44" i="14"/>
  <c r="U68" i="14" l="1"/>
  <c r="U22" i="21" s="1"/>
  <c r="Q13" i="23" s="1"/>
  <c r="H35" i="23" s="1"/>
  <c r="K30" i="22" l="1"/>
  <c r="K68" i="18" l="1"/>
  <c r="C68" i="18"/>
  <c r="C34" i="18"/>
  <c r="C68" i="16"/>
  <c r="C68" i="14"/>
  <c r="C22" i="21" s="1"/>
  <c r="C13" i="23" s="1"/>
  <c r="C68" i="1"/>
  <c r="Q58" i="17"/>
  <c r="K68" i="17" l="1"/>
  <c r="Q44" i="1" l="1"/>
  <c r="R44" i="1"/>
  <c r="T44" i="1"/>
  <c r="U44" i="1"/>
  <c r="V44" i="1"/>
  <c r="S44" i="1" l="1"/>
  <c r="E29" i="12" l="1"/>
  <c r="M30" i="22" s="1"/>
  <c r="M68" i="14" l="1"/>
  <c r="B34" i="14" l="1"/>
  <c r="D34" i="1"/>
  <c r="G34" i="1"/>
  <c r="H34" i="1"/>
  <c r="I34" i="1"/>
  <c r="B36" i="12" l="1"/>
  <c r="H34" i="16" l="1"/>
  <c r="I34" i="16"/>
  <c r="M68" i="1" l="1"/>
  <c r="L68" i="16" l="1"/>
  <c r="J10" i="21"/>
  <c r="J7" i="23" s="1"/>
  <c r="C34" i="1" l="1"/>
  <c r="K34" i="1"/>
  <c r="L34" i="1"/>
  <c r="N34" i="1"/>
  <c r="O34" i="1"/>
  <c r="P34" i="1"/>
  <c r="H68" i="16"/>
  <c r="X12" i="1"/>
  <c r="Q10" i="18" l="1"/>
  <c r="R10" i="18"/>
  <c r="T10" i="18"/>
  <c r="U10" i="18"/>
  <c r="V10" i="18"/>
  <c r="W10" i="18"/>
  <c r="X10" i="18"/>
  <c r="Y10" i="18"/>
  <c r="Z10" i="18"/>
  <c r="AA10" i="18"/>
  <c r="AB10" i="18"/>
  <c r="AC10" i="18"/>
  <c r="AD10" i="18"/>
  <c r="AE10" i="18"/>
  <c r="AF10" i="18"/>
  <c r="AG10" i="18"/>
  <c r="AH10" i="18"/>
  <c r="AI10" i="18"/>
  <c r="AJ10" i="18"/>
  <c r="AK10" i="18"/>
  <c r="AL10" i="18"/>
  <c r="B34" i="13"/>
  <c r="C34" i="13"/>
  <c r="D34" i="13"/>
  <c r="F34" i="13"/>
  <c r="G34" i="13"/>
  <c r="H34" i="13"/>
  <c r="I34" i="13"/>
  <c r="J34" i="13"/>
  <c r="K34" i="13"/>
  <c r="L34" i="13"/>
  <c r="M34" i="13"/>
  <c r="N34" i="13"/>
  <c r="O34" i="13"/>
  <c r="S10" i="18" l="1"/>
  <c r="B68" i="1" l="1"/>
  <c r="B20" i="21" s="1"/>
  <c r="B11" i="23" s="1"/>
  <c r="Q22" i="17" l="1"/>
  <c r="N34" i="16"/>
  <c r="P34" i="13" l="1"/>
  <c r="P7" i="21" s="1"/>
  <c r="P4" i="23" s="1"/>
  <c r="W5" i="18"/>
  <c r="A39" i="18"/>
  <c r="W5" i="17"/>
  <c r="A39" i="17"/>
  <c r="W5" i="16"/>
  <c r="A39" i="16"/>
  <c r="W5" i="15"/>
  <c r="A39" i="15"/>
  <c r="A39" i="14"/>
  <c r="A39" i="13"/>
  <c r="W5" i="1"/>
  <c r="W5" i="13"/>
  <c r="W5" i="14"/>
  <c r="K35" i="12" l="1"/>
  <c r="P68" i="18" l="1"/>
  <c r="P26" i="21" s="1"/>
  <c r="P17" i="23" s="1"/>
  <c r="O68" i="18"/>
  <c r="O26" i="21" s="1"/>
  <c r="O17" i="23" s="1"/>
  <c r="N68" i="18"/>
  <c r="N26" i="21" s="1"/>
  <c r="N17" i="23" s="1"/>
  <c r="M68" i="18"/>
  <c r="M26" i="21" s="1"/>
  <c r="M17" i="23" s="1"/>
  <c r="L68" i="18"/>
  <c r="L26" i="21" s="1"/>
  <c r="L17" i="23" s="1"/>
  <c r="K26" i="21"/>
  <c r="K17" i="23" s="1"/>
  <c r="J26" i="21"/>
  <c r="J17" i="23" s="1"/>
  <c r="I68" i="18"/>
  <c r="I26" i="21" s="1"/>
  <c r="I17" i="23" s="1"/>
  <c r="H68" i="18"/>
  <c r="H26" i="21" s="1"/>
  <c r="H17" i="23" s="1"/>
  <c r="G68" i="18"/>
  <c r="G26" i="21" s="1"/>
  <c r="G17" i="23" s="1"/>
  <c r="F26" i="21"/>
  <c r="F17" i="23" s="1"/>
  <c r="E68" i="18"/>
  <c r="E26" i="21" s="1"/>
  <c r="E17" i="23" s="1"/>
  <c r="D68" i="18"/>
  <c r="D26" i="21" s="1"/>
  <c r="D17" i="23" s="1"/>
  <c r="C26" i="21"/>
  <c r="C17" i="23" s="1"/>
  <c r="B68" i="18"/>
  <c r="B26" i="21" s="1"/>
  <c r="B17" i="23" s="1"/>
  <c r="V67" i="18"/>
  <c r="U67" i="18"/>
  <c r="T67" i="18"/>
  <c r="R67" i="18"/>
  <c r="Q67" i="18"/>
  <c r="V66" i="18"/>
  <c r="U66" i="18"/>
  <c r="T66" i="18"/>
  <c r="R66" i="18"/>
  <c r="Q66" i="18"/>
  <c r="V65" i="18"/>
  <c r="U65" i="18"/>
  <c r="T65" i="18"/>
  <c r="R65" i="18"/>
  <c r="Q65" i="18"/>
  <c r="V64" i="18"/>
  <c r="U64" i="18"/>
  <c r="T64" i="18"/>
  <c r="R64" i="18"/>
  <c r="Q64" i="18"/>
  <c r="V63" i="18"/>
  <c r="U63" i="18"/>
  <c r="T63" i="18"/>
  <c r="R63" i="18"/>
  <c r="Q63" i="18"/>
  <c r="V62" i="18"/>
  <c r="U62" i="18"/>
  <c r="T62" i="18"/>
  <c r="R62" i="18"/>
  <c r="Q62" i="18"/>
  <c r="V61" i="18"/>
  <c r="U61" i="18"/>
  <c r="T61" i="18"/>
  <c r="R61" i="18"/>
  <c r="Q61" i="18"/>
  <c r="V60" i="18"/>
  <c r="U60" i="18"/>
  <c r="T60" i="18"/>
  <c r="R60" i="18"/>
  <c r="Q60" i="18"/>
  <c r="V59" i="18"/>
  <c r="U59" i="18"/>
  <c r="T59" i="18"/>
  <c r="R59" i="18"/>
  <c r="Q59" i="18"/>
  <c r="V58" i="18"/>
  <c r="U58" i="18"/>
  <c r="T58" i="18"/>
  <c r="R58" i="18"/>
  <c r="Q58" i="18"/>
  <c r="V57" i="18"/>
  <c r="U57" i="18"/>
  <c r="T57" i="18"/>
  <c r="R57" i="18"/>
  <c r="Q57" i="18"/>
  <c r="V56" i="18"/>
  <c r="U56" i="18"/>
  <c r="T56" i="18"/>
  <c r="R56" i="18"/>
  <c r="Q56" i="18"/>
  <c r="V55" i="18"/>
  <c r="U55" i="18"/>
  <c r="T55" i="18"/>
  <c r="R55" i="18"/>
  <c r="Q55" i="18"/>
  <c r="V54" i="18"/>
  <c r="U54" i="18"/>
  <c r="T54" i="18"/>
  <c r="R54" i="18"/>
  <c r="Q54" i="18"/>
  <c r="V53" i="18"/>
  <c r="U53" i="18"/>
  <c r="T53" i="18"/>
  <c r="R53" i="18"/>
  <c r="Q53" i="18"/>
  <c r="V52" i="18"/>
  <c r="U52" i="18"/>
  <c r="T52" i="18"/>
  <c r="R52" i="18"/>
  <c r="Q52" i="18"/>
  <c r="V51" i="18"/>
  <c r="U51" i="18"/>
  <c r="T51" i="18"/>
  <c r="R51" i="18"/>
  <c r="Q51" i="18"/>
  <c r="V50" i="18"/>
  <c r="U50" i="18"/>
  <c r="T50" i="18"/>
  <c r="R50" i="18"/>
  <c r="Q50" i="18"/>
  <c r="V49" i="18"/>
  <c r="U49" i="18"/>
  <c r="T49" i="18"/>
  <c r="R49" i="18"/>
  <c r="Q49" i="18"/>
  <c r="V48" i="18"/>
  <c r="U48" i="18"/>
  <c r="T48" i="18"/>
  <c r="R48" i="18"/>
  <c r="Q48" i="18"/>
  <c r="V47" i="18"/>
  <c r="U47" i="18"/>
  <c r="T47" i="18"/>
  <c r="R47" i="18"/>
  <c r="Q47" i="18"/>
  <c r="V46" i="18"/>
  <c r="U46" i="18"/>
  <c r="T46" i="18"/>
  <c r="R46" i="18"/>
  <c r="Q46" i="18"/>
  <c r="V45" i="18"/>
  <c r="U45" i="18"/>
  <c r="T45" i="18"/>
  <c r="R45" i="18"/>
  <c r="Q45" i="18"/>
  <c r="V44" i="18"/>
  <c r="AR10" i="18" s="1"/>
  <c r="U44" i="18"/>
  <c r="AQ10" i="18" s="1"/>
  <c r="T44" i="18"/>
  <c r="AP10" i="18" s="1"/>
  <c r="R44" i="18"/>
  <c r="AN10" i="18" s="1"/>
  <c r="Q44" i="18"/>
  <c r="AM10" i="18" s="1"/>
  <c r="P34" i="18"/>
  <c r="P12" i="21" s="1"/>
  <c r="P9" i="23" s="1"/>
  <c r="O34" i="18"/>
  <c r="O12" i="21" s="1"/>
  <c r="O9" i="23" s="1"/>
  <c r="N34" i="18"/>
  <c r="N12" i="21" s="1"/>
  <c r="N9" i="23" s="1"/>
  <c r="M34" i="18"/>
  <c r="M12" i="21" s="1"/>
  <c r="M9" i="23" s="1"/>
  <c r="L34" i="18"/>
  <c r="L12" i="21" s="1"/>
  <c r="L9" i="23" s="1"/>
  <c r="K34" i="18"/>
  <c r="K12" i="21" s="1"/>
  <c r="K9" i="23" s="1"/>
  <c r="J34" i="18"/>
  <c r="J12" i="21" s="1"/>
  <c r="J9" i="23" s="1"/>
  <c r="I34" i="18"/>
  <c r="I12" i="21" s="1"/>
  <c r="I9" i="23" s="1"/>
  <c r="H34" i="18"/>
  <c r="H12" i="21" s="1"/>
  <c r="H9" i="23" s="1"/>
  <c r="G34" i="18"/>
  <c r="G12" i="21" s="1"/>
  <c r="G9" i="23" s="1"/>
  <c r="F34" i="18"/>
  <c r="F12" i="21" s="1"/>
  <c r="F9" i="23" s="1"/>
  <c r="E34" i="18"/>
  <c r="E12" i="21" s="1"/>
  <c r="E9" i="23" s="1"/>
  <c r="D34" i="18"/>
  <c r="D12" i="21" s="1"/>
  <c r="D9" i="23" s="1"/>
  <c r="C12" i="21"/>
  <c r="C9" i="23" s="1"/>
  <c r="B34" i="18"/>
  <c r="B12" i="21" s="1"/>
  <c r="B9" i="23" s="1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R33" i="18"/>
  <c r="Q33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R32" i="18"/>
  <c r="Q32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R31" i="18"/>
  <c r="Q31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R30" i="18"/>
  <c r="Q30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R29" i="18"/>
  <c r="Q29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R28" i="18"/>
  <c r="Q28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R27" i="18"/>
  <c r="Q27" i="18"/>
  <c r="AL26" i="18"/>
  <c r="AK26" i="18"/>
  <c r="AJ26" i="18"/>
  <c r="AI26" i="18"/>
  <c r="AH26" i="18"/>
  <c r="AG26" i="18"/>
  <c r="AF26" i="18"/>
  <c r="AE26" i="18"/>
  <c r="AD26" i="18"/>
  <c r="AC26" i="18"/>
  <c r="AB26" i="18"/>
  <c r="AA26" i="18"/>
  <c r="Z26" i="18"/>
  <c r="Y26" i="18"/>
  <c r="X26" i="18"/>
  <c r="W26" i="18"/>
  <c r="V26" i="18"/>
  <c r="U26" i="18"/>
  <c r="T26" i="18"/>
  <c r="R26" i="18"/>
  <c r="Q26" i="18"/>
  <c r="AL25" i="18"/>
  <c r="AK25" i="18"/>
  <c r="AJ25" i="18"/>
  <c r="AI25" i="18"/>
  <c r="AH25" i="18"/>
  <c r="AG25" i="18"/>
  <c r="AF25" i="18"/>
  <c r="AE25" i="18"/>
  <c r="AD25" i="18"/>
  <c r="AC25" i="18"/>
  <c r="AB25" i="18"/>
  <c r="AA25" i="18"/>
  <c r="Z25" i="18"/>
  <c r="Y25" i="18"/>
  <c r="X25" i="18"/>
  <c r="W25" i="18"/>
  <c r="V25" i="18"/>
  <c r="U25" i="18"/>
  <c r="T25" i="18"/>
  <c r="R25" i="18"/>
  <c r="Q25" i="18"/>
  <c r="AL24" i="18"/>
  <c r="AK24" i="18"/>
  <c r="AJ24" i="18"/>
  <c r="AI24" i="18"/>
  <c r="AH24" i="18"/>
  <c r="AG24" i="18"/>
  <c r="AF24" i="18"/>
  <c r="AE24" i="18"/>
  <c r="AD24" i="18"/>
  <c r="AC24" i="18"/>
  <c r="AB24" i="18"/>
  <c r="AA24" i="18"/>
  <c r="Z24" i="18"/>
  <c r="Y24" i="18"/>
  <c r="X24" i="18"/>
  <c r="W24" i="18"/>
  <c r="V24" i="18"/>
  <c r="U24" i="18"/>
  <c r="T24" i="18"/>
  <c r="R24" i="18"/>
  <c r="Q24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R23" i="18"/>
  <c r="Q23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R22" i="18"/>
  <c r="Q22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R21" i="18"/>
  <c r="Q21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R20" i="18"/>
  <c r="Q20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R19" i="18"/>
  <c r="Q19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R18" i="18"/>
  <c r="Q18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R17" i="18"/>
  <c r="Q17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R16" i="18"/>
  <c r="Q16" i="18"/>
  <c r="AL15" i="18"/>
  <c r="AK15" i="18"/>
  <c r="AJ15" i="18"/>
  <c r="AI15" i="18"/>
  <c r="AH15" i="18"/>
  <c r="AG15" i="18"/>
  <c r="AF15" i="18"/>
  <c r="AE15" i="18"/>
  <c r="AD15" i="18"/>
  <c r="AC15" i="18"/>
  <c r="AB15" i="18"/>
  <c r="AA15" i="18"/>
  <c r="Z15" i="18"/>
  <c r="Y15" i="18"/>
  <c r="X15" i="18"/>
  <c r="W15" i="18"/>
  <c r="V15" i="18"/>
  <c r="U15" i="18"/>
  <c r="T15" i="18"/>
  <c r="R15" i="18"/>
  <c r="Q15" i="18"/>
  <c r="AL14" i="18"/>
  <c r="AK14" i="18"/>
  <c r="AJ14" i="18"/>
  <c r="AI14" i="18"/>
  <c r="AH14" i="18"/>
  <c r="AG14" i="18"/>
  <c r="AF14" i="18"/>
  <c r="AE14" i="18"/>
  <c r="AD14" i="18"/>
  <c r="AC14" i="18"/>
  <c r="AB14" i="18"/>
  <c r="AA14" i="18"/>
  <c r="Z14" i="18"/>
  <c r="Y14" i="18"/>
  <c r="X14" i="18"/>
  <c r="W14" i="18"/>
  <c r="V14" i="18"/>
  <c r="U14" i="18"/>
  <c r="T14" i="18"/>
  <c r="R14" i="18"/>
  <c r="Q14" i="18"/>
  <c r="AL13" i="18"/>
  <c r="AK13" i="18"/>
  <c r="AJ13" i="18"/>
  <c r="AI13" i="18"/>
  <c r="AH13" i="18"/>
  <c r="AG13" i="18"/>
  <c r="AF13" i="18"/>
  <c r="AE13" i="18"/>
  <c r="AD13" i="18"/>
  <c r="AC13" i="18"/>
  <c r="AB13" i="18"/>
  <c r="AA13" i="18"/>
  <c r="Z13" i="18"/>
  <c r="Y13" i="18"/>
  <c r="X13" i="18"/>
  <c r="W13" i="18"/>
  <c r="V13" i="18"/>
  <c r="U13" i="18"/>
  <c r="T13" i="18"/>
  <c r="R13" i="18"/>
  <c r="Q13" i="18"/>
  <c r="AL12" i="18"/>
  <c r="AK12" i="18"/>
  <c r="AJ12" i="18"/>
  <c r="AI12" i="18"/>
  <c r="AH12" i="18"/>
  <c r="AG12" i="18"/>
  <c r="AF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R12" i="18"/>
  <c r="Q12" i="18"/>
  <c r="AL11" i="18"/>
  <c r="AK11" i="18"/>
  <c r="AJ11" i="18"/>
  <c r="AI11" i="18"/>
  <c r="AH11" i="18"/>
  <c r="AG11" i="18"/>
  <c r="AF11" i="18"/>
  <c r="AE11" i="18"/>
  <c r="AD11" i="18"/>
  <c r="AC11" i="18"/>
  <c r="AB11" i="18"/>
  <c r="AA11" i="18"/>
  <c r="Z11" i="18"/>
  <c r="Y11" i="18"/>
  <c r="X11" i="18"/>
  <c r="W11" i="18"/>
  <c r="V11" i="18"/>
  <c r="U11" i="18"/>
  <c r="T11" i="18"/>
  <c r="R11" i="18"/>
  <c r="Q11" i="18"/>
  <c r="P68" i="17"/>
  <c r="P25" i="21" s="1"/>
  <c r="P16" i="23" s="1"/>
  <c r="O68" i="17"/>
  <c r="O25" i="21" s="1"/>
  <c r="O16" i="23" s="1"/>
  <c r="N68" i="17"/>
  <c r="N25" i="21" s="1"/>
  <c r="N16" i="23" s="1"/>
  <c r="M68" i="17"/>
  <c r="M25" i="21" s="1"/>
  <c r="M16" i="23" s="1"/>
  <c r="L68" i="17"/>
  <c r="L25" i="21" s="1"/>
  <c r="L16" i="23" s="1"/>
  <c r="K25" i="21"/>
  <c r="K16" i="23" s="1"/>
  <c r="J68" i="17"/>
  <c r="J25" i="21" s="1"/>
  <c r="J16" i="23" s="1"/>
  <c r="I68" i="17"/>
  <c r="I25" i="21" s="1"/>
  <c r="I16" i="23" s="1"/>
  <c r="H68" i="17"/>
  <c r="H25" i="21" s="1"/>
  <c r="H16" i="23" s="1"/>
  <c r="G68" i="17"/>
  <c r="G25" i="21" s="1"/>
  <c r="G16" i="23" s="1"/>
  <c r="F68" i="17"/>
  <c r="F25" i="21" s="1"/>
  <c r="F16" i="23" s="1"/>
  <c r="E68" i="17"/>
  <c r="E25" i="21" s="1"/>
  <c r="E16" i="23" s="1"/>
  <c r="D68" i="17"/>
  <c r="D25" i="21" s="1"/>
  <c r="D16" i="23" s="1"/>
  <c r="C68" i="17"/>
  <c r="C25" i="21" s="1"/>
  <c r="C16" i="23" s="1"/>
  <c r="B68" i="17"/>
  <c r="B25" i="21" s="1"/>
  <c r="B16" i="23" s="1"/>
  <c r="V67" i="17"/>
  <c r="U67" i="17"/>
  <c r="T67" i="17"/>
  <c r="R67" i="17"/>
  <c r="Q67" i="17"/>
  <c r="V66" i="17"/>
  <c r="U66" i="17"/>
  <c r="T66" i="17"/>
  <c r="R66" i="17"/>
  <c r="Q66" i="17"/>
  <c r="V65" i="17"/>
  <c r="U65" i="17"/>
  <c r="T65" i="17"/>
  <c r="R65" i="17"/>
  <c r="Q65" i="17"/>
  <c r="V64" i="17"/>
  <c r="U64" i="17"/>
  <c r="T64" i="17"/>
  <c r="R64" i="17"/>
  <c r="Q64" i="17"/>
  <c r="V63" i="17"/>
  <c r="U63" i="17"/>
  <c r="T63" i="17"/>
  <c r="R63" i="17"/>
  <c r="Q63" i="17"/>
  <c r="V62" i="17"/>
  <c r="U62" i="17"/>
  <c r="T62" i="17"/>
  <c r="R62" i="17"/>
  <c r="Q62" i="17"/>
  <c r="V61" i="17"/>
  <c r="U61" i="17"/>
  <c r="T61" i="17"/>
  <c r="R61" i="17"/>
  <c r="Q61" i="17"/>
  <c r="V60" i="17"/>
  <c r="U60" i="17"/>
  <c r="T60" i="17"/>
  <c r="R60" i="17"/>
  <c r="Q60" i="17"/>
  <c r="V59" i="17"/>
  <c r="U59" i="17"/>
  <c r="T59" i="17"/>
  <c r="R59" i="17"/>
  <c r="Q59" i="17"/>
  <c r="V58" i="17"/>
  <c r="U58" i="17"/>
  <c r="T58" i="17"/>
  <c r="R58" i="17"/>
  <c r="V57" i="17"/>
  <c r="U57" i="17"/>
  <c r="T57" i="17"/>
  <c r="R57" i="17"/>
  <c r="Q57" i="17"/>
  <c r="V56" i="17"/>
  <c r="U56" i="17"/>
  <c r="T56" i="17"/>
  <c r="R56" i="17"/>
  <c r="Q56" i="17"/>
  <c r="V55" i="17"/>
  <c r="U55" i="17"/>
  <c r="T55" i="17"/>
  <c r="R55" i="17"/>
  <c r="Q55" i="17"/>
  <c r="V54" i="17"/>
  <c r="U54" i="17"/>
  <c r="T54" i="17"/>
  <c r="R54" i="17"/>
  <c r="Q54" i="17"/>
  <c r="V53" i="17"/>
  <c r="U53" i="17"/>
  <c r="T53" i="17"/>
  <c r="R53" i="17"/>
  <c r="Q53" i="17"/>
  <c r="V52" i="17"/>
  <c r="U52" i="17"/>
  <c r="T52" i="17"/>
  <c r="R52" i="17"/>
  <c r="Q52" i="17"/>
  <c r="V51" i="17"/>
  <c r="U51" i="17"/>
  <c r="T51" i="17"/>
  <c r="R51" i="17"/>
  <c r="Q51" i="17"/>
  <c r="V50" i="17"/>
  <c r="U50" i="17"/>
  <c r="T50" i="17"/>
  <c r="R50" i="17"/>
  <c r="Q50" i="17"/>
  <c r="V49" i="17"/>
  <c r="U49" i="17"/>
  <c r="T49" i="17"/>
  <c r="R49" i="17"/>
  <c r="Q49" i="17"/>
  <c r="V48" i="17"/>
  <c r="U48" i="17"/>
  <c r="T48" i="17"/>
  <c r="R48" i="17"/>
  <c r="Q48" i="17"/>
  <c r="V47" i="17"/>
  <c r="U47" i="17"/>
  <c r="T47" i="17"/>
  <c r="R47" i="17"/>
  <c r="Q47" i="17"/>
  <c r="V46" i="17"/>
  <c r="U46" i="17"/>
  <c r="T46" i="17"/>
  <c r="R46" i="17"/>
  <c r="Q46" i="17"/>
  <c r="V45" i="17"/>
  <c r="U45" i="17"/>
  <c r="T45" i="17"/>
  <c r="R45" i="17"/>
  <c r="Q45" i="17"/>
  <c r="V44" i="17"/>
  <c r="U44" i="17"/>
  <c r="T44" i="17"/>
  <c r="R44" i="17"/>
  <c r="Q44" i="17"/>
  <c r="P11" i="21"/>
  <c r="P8" i="23" s="1"/>
  <c r="O11" i="21"/>
  <c r="O8" i="23" s="1"/>
  <c r="N11" i="21"/>
  <c r="N8" i="23" s="1"/>
  <c r="M11" i="21"/>
  <c r="M8" i="23" s="1"/>
  <c r="L11" i="21"/>
  <c r="L8" i="23" s="1"/>
  <c r="K11" i="21"/>
  <c r="K8" i="23" s="1"/>
  <c r="J11" i="21"/>
  <c r="J8" i="23" s="1"/>
  <c r="I11" i="21"/>
  <c r="I8" i="23" s="1"/>
  <c r="H11" i="21"/>
  <c r="H8" i="23" s="1"/>
  <c r="G11" i="21"/>
  <c r="G8" i="23" s="1"/>
  <c r="F11" i="21"/>
  <c r="F8" i="23" s="1"/>
  <c r="E11" i="21"/>
  <c r="E8" i="23" s="1"/>
  <c r="D11" i="21"/>
  <c r="D8" i="23" s="1"/>
  <c r="C11" i="21"/>
  <c r="C8" i="23" s="1"/>
  <c r="B11" i="21"/>
  <c r="B8" i="23" s="1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R33" i="17"/>
  <c r="Q33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R32" i="17"/>
  <c r="Q32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R31" i="17"/>
  <c r="Q31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R30" i="17"/>
  <c r="Q30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R29" i="17"/>
  <c r="Q29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R28" i="17"/>
  <c r="Q28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R27" i="17"/>
  <c r="Q27" i="17"/>
  <c r="AL26" i="17"/>
  <c r="AK26" i="17"/>
  <c r="AJ26" i="17"/>
  <c r="AI26" i="17"/>
  <c r="AH26" i="17"/>
  <c r="AG26" i="17"/>
  <c r="AF26" i="17"/>
  <c r="AE26" i="17"/>
  <c r="AD26" i="17"/>
  <c r="AC26" i="17"/>
  <c r="AB26" i="17"/>
  <c r="AA26" i="17"/>
  <c r="Z26" i="17"/>
  <c r="Y26" i="17"/>
  <c r="X26" i="17"/>
  <c r="W26" i="17"/>
  <c r="V26" i="17"/>
  <c r="U26" i="17"/>
  <c r="T26" i="17"/>
  <c r="R26" i="17"/>
  <c r="Q26" i="17"/>
  <c r="AL25" i="17"/>
  <c r="AK25" i="17"/>
  <c r="AJ25" i="17"/>
  <c r="AI25" i="17"/>
  <c r="AH25" i="17"/>
  <c r="AG25" i="17"/>
  <c r="AF25" i="17"/>
  <c r="AE25" i="17"/>
  <c r="AD25" i="17"/>
  <c r="AC25" i="17"/>
  <c r="AB25" i="17"/>
  <c r="AA25" i="17"/>
  <c r="Z25" i="17"/>
  <c r="Y25" i="17"/>
  <c r="X25" i="17"/>
  <c r="W25" i="17"/>
  <c r="V25" i="17"/>
  <c r="U25" i="17"/>
  <c r="T25" i="17"/>
  <c r="R25" i="17"/>
  <c r="Q25" i="17"/>
  <c r="AL24" i="17"/>
  <c r="AK24" i="17"/>
  <c r="AJ24" i="17"/>
  <c r="AI24" i="17"/>
  <c r="AH24" i="17"/>
  <c r="AG24" i="17"/>
  <c r="AF24" i="17"/>
  <c r="AE24" i="17"/>
  <c r="AD24" i="17"/>
  <c r="AC24" i="17"/>
  <c r="AB24" i="17"/>
  <c r="AA24" i="17"/>
  <c r="Z24" i="17"/>
  <c r="Y24" i="17"/>
  <c r="X24" i="17"/>
  <c r="W24" i="17"/>
  <c r="V24" i="17"/>
  <c r="U24" i="17"/>
  <c r="T24" i="17"/>
  <c r="R24" i="17"/>
  <c r="Q24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R23" i="17"/>
  <c r="Q23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R22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R21" i="17"/>
  <c r="Q21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R20" i="17"/>
  <c r="Q20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R19" i="17"/>
  <c r="Q19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R18" i="17"/>
  <c r="Q18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R17" i="17"/>
  <c r="Q17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R16" i="17"/>
  <c r="Q16" i="17"/>
  <c r="AL15" i="17"/>
  <c r="AK15" i="17"/>
  <c r="AJ15" i="17"/>
  <c r="AI15" i="17"/>
  <c r="AH15" i="17"/>
  <c r="AG15" i="17"/>
  <c r="AF15" i="17"/>
  <c r="AE15" i="17"/>
  <c r="AD15" i="17"/>
  <c r="AC15" i="17"/>
  <c r="AB15" i="17"/>
  <c r="AA15" i="17"/>
  <c r="Z15" i="17"/>
  <c r="Y15" i="17"/>
  <c r="X15" i="17"/>
  <c r="W15" i="17"/>
  <c r="V15" i="17"/>
  <c r="U15" i="17"/>
  <c r="T15" i="17"/>
  <c r="R15" i="17"/>
  <c r="Q15" i="17"/>
  <c r="AL14" i="17"/>
  <c r="AK14" i="17"/>
  <c r="AJ14" i="17"/>
  <c r="AI14" i="17"/>
  <c r="AH14" i="17"/>
  <c r="AG14" i="17"/>
  <c r="AF14" i="17"/>
  <c r="AE14" i="17"/>
  <c r="AD14" i="17"/>
  <c r="AC14" i="17"/>
  <c r="AB14" i="17"/>
  <c r="AA14" i="17"/>
  <c r="Z14" i="17"/>
  <c r="Y14" i="17"/>
  <c r="X14" i="17"/>
  <c r="W14" i="17"/>
  <c r="V14" i="17"/>
  <c r="U14" i="17"/>
  <c r="T14" i="17"/>
  <c r="R14" i="17"/>
  <c r="Q14" i="17"/>
  <c r="AL13" i="17"/>
  <c r="AK13" i="17"/>
  <c r="AJ13" i="17"/>
  <c r="AI13" i="17"/>
  <c r="AH13" i="17"/>
  <c r="AG13" i="17"/>
  <c r="AF13" i="17"/>
  <c r="AE13" i="17"/>
  <c r="AD13" i="17"/>
  <c r="AC13" i="17"/>
  <c r="AB13" i="17"/>
  <c r="AA13" i="17"/>
  <c r="Z13" i="17"/>
  <c r="Y13" i="17"/>
  <c r="X13" i="17"/>
  <c r="W13" i="17"/>
  <c r="V13" i="17"/>
  <c r="U13" i="17"/>
  <c r="T13" i="17"/>
  <c r="R13" i="17"/>
  <c r="Q13" i="17"/>
  <c r="AL12" i="17"/>
  <c r="AK12" i="17"/>
  <c r="AJ12" i="17"/>
  <c r="AI12" i="17"/>
  <c r="AH12" i="17"/>
  <c r="AG12" i="17"/>
  <c r="AF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R12" i="17"/>
  <c r="Q12" i="17"/>
  <c r="AL11" i="17"/>
  <c r="AK11" i="17"/>
  <c r="AJ11" i="17"/>
  <c r="AI11" i="17"/>
  <c r="AH11" i="17"/>
  <c r="AG11" i="17"/>
  <c r="AF11" i="17"/>
  <c r="AE11" i="17"/>
  <c r="AD11" i="17"/>
  <c r="AC11" i="17"/>
  <c r="AB11" i="17"/>
  <c r="AA11" i="17"/>
  <c r="Z11" i="17"/>
  <c r="Y11" i="17"/>
  <c r="X11" i="17"/>
  <c r="W11" i="17"/>
  <c r="V11" i="17"/>
  <c r="U11" i="17"/>
  <c r="T11" i="17"/>
  <c r="R11" i="17"/>
  <c r="Q11" i="17"/>
  <c r="AL10" i="17"/>
  <c r="AK10" i="17"/>
  <c r="AJ10" i="17"/>
  <c r="AI10" i="17"/>
  <c r="AH10" i="17"/>
  <c r="AG10" i="17"/>
  <c r="AF10" i="17"/>
  <c r="AE10" i="17"/>
  <c r="AD10" i="17"/>
  <c r="AC10" i="17"/>
  <c r="AB10" i="17"/>
  <c r="AA10" i="17"/>
  <c r="Z10" i="17"/>
  <c r="Y10" i="17"/>
  <c r="X10" i="17"/>
  <c r="W10" i="17"/>
  <c r="V10" i="17"/>
  <c r="U10" i="17"/>
  <c r="T10" i="17"/>
  <c r="R10" i="17"/>
  <c r="Q10" i="17"/>
  <c r="P68" i="16"/>
  <c r="P24" i="21" s="1"/>
  <c r="P15" i="23" s="1"/>
  <c r="O68" i="16"/>
  <c r="O24" i="21" s="1"/>
  <c r="O15" i="23" s="1"/>
  <c r="N68" i="16"/>
  <c r="N24" i="21" s="1"/>
  <c r="N15" i="23" s="1"/>
  <c r="M24" i="21"/>
  <c r="M15" i="23" s="1"/>
  <c r="L24" i="21"/>
  <c r="L15" i="23" s="1"/>
  <c r="K68" i="16"/>
  <c r="K24" i="21" s="1"/>
  <c r="K15" i="23" s="1"/>
  <c r="J68" i="16"/>
  <c r="J24" i="21" s="1"/>
  <c r="J15" i="23" s="1"/>
  <c r="I68" i="16"/>
  <c r="I24" i="21" s="1"/>
  <c r="I15" i="23" s="1"/>
  <c r="H24" i="21"/>
  <c r="H15" i="23" s="1"/>
  <c r="G68" i="16"/>
  <c r="G24" i="21" s="1"/>
  <c r="G15" i="23" s="1"/>
  <c r="F68" i="16"/>
  <c r="F24" i="21" s="1"/>
  <c r="F15" i="23" s="1"/>
  <c r="E24" i="21"/>
  <c r="E15" i="23" s="1"/>
  <c r="D68" i="16"/>
  <c r="D24" i="21" s="1"/>
  <c r="D15" i="23" s="1"/>
  <c r="C24" i="21"/>
  <c r="C15" i="23" s="1"/>
  <c r="B68" i="16"/>
  <c r="B24" i="21" s="1"/>
  <c r="B15" i="23" s="1"/>
  <c r="V67" i="16"/>
  <c r="U67" i="16"/>
  <c r="T67" i="16"/>
  <c r="R67" i="16"/>
  <c r="Q67" i="16"/>
  <c r="V66" i="16"/>
  <c r="U66" i="16"/>
  <c r="T66" i="16"/>
  <c r="R66" i="16"/>
  <c r="Q66" i="16"/>
  <c r="V65" i="16"/>
  <c r="U65" i="16"/>
  <c r="T65" i="16"/>
  <c r="R65" i="16"/>
  <c r="Q65" i="16"/>
  <c r="V64" i="16"/>
  <c r="U64" i="16"/>
  <c r="T64" i="16"/>
  <c r="R64" i="16"/>
  <c r="Q64" i="16"/>
  <c r="V63" i="16"/>
  <c r="U63" i="16"/>
  <c r="T63" i="16"/>
  <c r="R63" i="16"/>
  <c r="Q63" i="16"/>
  <c r="V62" i="16"/>
  <c r="U62" i="16"/>
  <c r="T62" i="16"/>
  <c r="R62" i="16"/>
  <c r="Q62" i="16"/>
  <c r="V61" i="16"/>
  <c r="U61" i="16"/>
  <c r="T61" i="16"/>
  <c r="R61" i="16"/>
  <c r="Q61" i="16"/>
  <c r="V60" i="16"/>
  <c r="U60" i="16"/>
  <c r="T60" i="16"/>
  <c r="R60" i="16"/>
  <c r="Q60" i="16"/>
  <c r="V59" i="16"/>
  <c r="U59" i="16"/>
  <c r="T59" i="16"/>
  <c r="R59" i="16"/>
  <c r="Q59" i="16"/>
  <c r="V58" i="16"/>
  <c r="U58" i="16"/>
  <c r="T58" i="16"/>
  <c r="R58" i="16"/>
  <c r="Q58" i="16"/>
  <c r="V57" i="16"/>
  <c r="U57" i="16"/>
  <c r="T57" i="16"/>
  <c r="R57" i="16"/>
  <c r="Q57" i="16"/>
  <c r="V56" i="16"/>
  <c r="U56" i="16"/>
  <c r="T56" i="16"/>
  <c r="R56" i="16"/>
  <c r="Q56" i="16"/>
  <c r="V55" i="16"/>
  <c r="U55" i="16"/>
  <c r="T55" i="16"/>
  <c r="R55" i="16"/>
  <c r="Q55" i="16"/>
  <c r="V54" i="16"/>
  <c r="U54" i="16"/>
  <c r="T54" i="16"/>
  <c r="R54" i="16"/>
  <c r="Q54" i="16"/>
  <c r="V53" i="16"/>
  <c r="U53" i="16"/>
  <c r="T53" i="16"/>
  <c r="R53" i="16"/>
  <c r="Q53" i="16"/>
  <c r="V52" i="16"/>
  <c r="U52" i="16"/>
  <c r="T52" i="16"/>
  <c r="R52" i="16"/>
  <c r="Q52" i="16"/>
  <c r="V51" i="16"/>
  <c r="U51" i="16"/>
  <c r="T51" i="16"/>
  <c r="R51" i="16"/>
  <c r="Q51" i="16"/>
  <c r="V50" i="16"/>
  <c r="U50" i="16"/>
  <c r="T50" i="16"/>
  <c r="R50" i="16"/>
  <c r="Q50" i="16"/>
  <c r="V49" i="16"/>
  <c r="U49" i="16"/>
  <c r="T49" i="16"/>
  <c r="R49" i="16"/>
  <c r="Q49" i="16"/>
  <c r="V48" i="16"/>
  <c r="U48" i="16"/>
  <c r="T48" i="16"/>
  <c r="R48" i="16"/>
  <c r="Q48" i="16"/>
  <c r="V47" i="16"/>
  <c r="U47" i="16"/>
  <c r="T47" i="16"/>
  <c r="R47" i="16"/>
  <c r="Q47" i="16"/>
  <c r="V46" i="16"/>
  <c r="U46" i="16"/>
  <c r="T46" i="16"/>
  <c r="R46" i="16"/>
  <c r="Q46" i="16"/>
  <c r="V45" i="16"/>
  <c r="U45" i="16"/>
  <c r="T45" i="16"/>
  <c r="R45" i="16"/>
  <c r="Q45" i="16"/>
  <c r="V44" i="16"/>
  <c r="U44" i="16"/>
  <c r="T44" i="16"/>
  <c r="R44" i="16"/>
  <c r="Q44" i="16"/>
  <c r="P34" i="16"/>
  <c r="P10" i="21" s="1"/>
  <c r="P7" i="23" s="1"/>
  <c r="O34" i="16"/>
  <c r="O10" i="21" s="1"/>
  <c r="O7" i="23" s="1"/>
  <c r="N10" i="21"/>
  <c r="N7" i="23" s="1"/>
  <c r="M34" i="16"/>
  <c r="M10" i="21" s="1"/>
  <c r="M7" i="23" s="1"/>
  <c r="L34" i="16"/>
  <c r="L10" i="21" s="1"/>
  <c r="L7" i="23" s="1"/>
  <c r="K34" i="16"/>
  <c r="K10" i="21" s="1"/>
  <c r="K7" i="23" s="1"/>
  <c r="I10" i="21"/>
  <c r="I7" i="23" s="1"/>
  <c r="H10" i="21"/>
  <c r="H7" i="23" s="1"/>
  <c r="G34" i="16"/>
  <c r="G10" i="21" s="1"/>
  <c r="G7" i="23" s="1"/>
  <c r="F34" i="16"/>
  <c r="F10" i="21" s="1"/>
  <c r="F7" i="23" s="1"/>
  <c r="E34" i="16"/>
  <c r="E10" i="21" s="1"/>
  <c r="E7" i="23" s="1"/>
  <c r="D34" i="16"/>
  <c r="D10" i="21" s="1"/>
  <c r="D7" i="23" s="1"/>
  <c r="C34" i="16"/>
  <c r="C10" i="21" s="1"/>
  <c r="C7" i="23" s="1"/>
  <c r="B34" i="16"/>
  <c r="B10" i="21" s="1"/>
  <c r="B7" i="23" s="1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R33" i="16"/>
  <c r="Q33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R32" i="16"/>
  <c r="Q32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R31" i="16"/>
  <c r="Q31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R30" i="16"/>
  <c r="Q30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R29" i="16"/>
  <c r="Q29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R28" i="16"/>
  <c r="Q28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R27" i="16"/>
  <c r="Q27" i="16"/>
  <c r="AL26" i="16"/>
  <c r="AK26" i="16"/>
  <c r="AJ26" i="16"/>
  <c r="AI26" i="16"/>
  <c r="AH26" i="16"/>
  <c r="AG26" i="16"/>
  <c r="AF26" i="16"/>
  <c r="AE26" i="16"/>
  <c r="AD26" i="16"/>
  <c r="AC26" i="16"/>
  <c r="AB26" i="16"/>
  <c r="AA26" i="16"/>
  <c r="Z26" i="16"/>
  <c r="Y26" i="16"/>
  <c r="X26" i="16"/>
  <c r="W26" i="16"/>
  <c r="V26" i="16"/>
  <c r="U26" i="16"/>
  <c r="T26" i="16"/>
  <c r="R26" i="16"/>
  <c r="Q26" i="16"/>
  <c r="AL25" i="16"/>
  <c r="AK25" i="16"/>
  <c r="AJ25" i="16"/>
  <c r="AI25" i="16"/>
  <c r="AH25" i="16"/>
  <c r="AG25" i="16"/>
  <c r="AF25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R25" i="16"/>
  <c r="Q25" i="16"/>
  <c r="AL24" i="16"/>
  <c r="AK24" i="16"/>
  <c r="AJ24" i="16"/>
  <c r="AI24" i="16"/>
  <c r="AH24" i="16"/>
  <c r="AG24" i="16"/>
  <c r="AF24" i="16"/>
  <c r="AE24" i="16"/>
  <c r="AD24" i="16"/>
  <c r="AC24" i="16"/>
  <c r="AB24" i="16"/>
  <c r="AA24" i="16"/>
  <c r="Z24" i="16"/>
  <c r="Y24" i="16"/>
  <c r="X24" i="16"/>
  <c r="W24" i="16"/>
  <c r="V24" i="16"/>
  <c r="U24" i="16"/>
  <c r="T24" i="16"/>
  <c r="R24" i="16"/>
  <c r="Q24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R23" i="16"/>
  <c r="Q23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R22" i="16"/>
  <c r="Q22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R21" i="16"/>
  <c r="Q21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R20" i="16"/>
  <c r="Q20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R19" i="16"/>
  <c r="Q19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R18" i="16"/>
  <c r="Q18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R17" i="16"/>
  <c r="Q17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R16" i="16"/>
  <c r="Q16" i="16"/>
  <c r="AL15" i="16"/>
  <c r="AK15" i="16"/>
  <c r="AJ15" i="16"/>
  <c r="AI15" i="16"/>
  <c r="AH15" i="16"/>
  <c r="AG15" i="16"/>
  <c r="AF15" i="16"/>
  <c r="AE15" i="16"/>
  <c r="AD15" i="16"/>
  <c r="AC15" i="16"/>
  <c r="AB15" i="16"/>
  <c r="AA15" i="16"/>
  <c r="Z15" i="16"/>
  <c r="Y15" i="16"/>
  <c r="X15" i="16"/>
  <c r="W15" i="16"/>
  <c r="V15" i="16"/>
  <c r="U15" i="16"/>
  <c r="T15" i="16"/>
  <c r="R15" i="16"/>
  <c r="Q15" i="16"/>
  <c r="AL14" i="16"/>
  <c r="AK14" i="16"/>
  <c r="AJ14" i="16"/>
  <c r="AI14" i="16"/>
  <c r="AH14" i="16"/>
  <c r="AG14" i="16"/>
  <c r="AF14" i="16"/>
  <c r="AE14" i="16"/>
  <c r="AD14" i="16"/>
  <c r="AC14" i="16"/>
  <c r="AB14" i="16"/>
  <c r="AA14" i="16"/>
  <c r="Z14" i="16"/>
  <c r="Y14" i="16"/>
  <c r="X14" i="16"/>
  <c r="W14" i="16"/>
  <c r="V14" i="16"/>
  <c r="U14" i="16"/>
  <c r="T14" i="16"/>
  <c r="R14" i="16"/>
  <c r="Q14" i="16"/>
  <c r="AL13" i="16"/>
  <c r="AK13" i="16"/>
  <c r="AJ13" i="16"/>
  <c r="AI13" i="16"/>
  <c r="AH13" i="16"/>
  <c r="AG13" i="16"/>
  <c r="AF13" i="16"/>
  <c r="AE13" i="16"/>
  <c r="AD13" i="16"/>
  <c r="AC13" i="16"/>
  <c r="AB13" i="16"/>
  <c r="AA13" i="16"/>
  <c r="Z13" i="16"/>
  <c r="Y13" i="16"/>
  <c r="X13" i="16"/>
  <c r="W13" i="16"/>
  <c r="V13" i="16"/>
  <c r="U13" i="16"/>
  <c r="T13" i="16"/>
  <c r="R13" i="16"/>
  <c r="Q13" i="16"/>
  <c r="AL12" i="16"/>
  <c r="AK12" i="16"/>
  <c r="AJ12" i="16"/>
  <c r="AI12" i="16"/>
  <c r="AH12" i="16"/>
  <c r="AG12" i="16"/>
  <c r="AF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R12" i="16"/>
  <c r="Q12" i="16"/>
  <c r="AL11" i="16"/>
  <c r="AK11" i="16"/>
  <c r="AJ11" i="16"/>
  <c r="AI11" i="16"/>
  <c r="AH11" i="16"/>
  <c r="AG11" i="16"/>
  <c r="AF11" i="16"/>
  <c r="AE11" i="16"/>
  <c r="AD11" i="16"/>
  <c r="AC11" i="16"/>
  <c r="AB11" i="16"/>
  <c r="AA11" i="16"/>
  <c r="Z11" i="16"/>
  <c r="Y11" i="16"/>
  <c r="X11" i="16"/>
  <c r="W11" i="16"/>
  <c r="V11" i="16"/>
  <c r="U11" i="16"/>
  <c r="T11" i="16"/>
  <c r="R11" i="16"/>
  <c r="Q11" i="16"/>
  <c r="AL10" i="16"/>
  <c r="AK10" i="16"/>
  <c r="AJ10" i="16"/>
  <c r="AI10" i="16"/>
  <c r="AH10" i="16"/>
  <c r="AG10" i="16"/>
  <c r="AF10" i="16"/>
  <c r="AE10" i="16"/>
  <c r="AD10" i="16"/>
  <c r="AC10" i="16"/>
  <c r="AB10" i="16"/>
  <c r="AA10" i="16"/>
  <c r="Z10" i="16"/>
  <c r="Y10" i="16"/>
  <c r="X10" i="16"/>
  <c r="W10" i="16"/>
  <c r="V10" i="16"/>
  <c r="U10" i="16"/>
  <c r="T10" i="16"/>
  <c r="R10" i="16"/>
  <c r="Q10" i="16"/>
  <c r="P68" i="15"/>
  <c r="P23" i="21" s="1"/>
  <c r="P14" i="23" s="1"/>
  <c r="O68" i="15"/>
  <c r="O23" i="21" s="1"/>
  <c r="O14" i="23" s="1"/>
  <c r="N68" i="15"/>
  <c r="N23" i="21" s="1"/>
  <c r="N14" i="23" s="1"/>
  <c r="M23" i="21"/>
  <c r="M14" i="23" s="1"/>
  <c r="L23" i="21"/>
  <c r="L14" i="23" s="1"/>
  <c r="K23" i="21"/>
  <c r="K14" i="23" s="1"/>
  <c r="J23" i="21"/>
  <c r="J14" i="23" s="1"/>
  <c r="I68" i="15"/>
  <c r="I23" i="21" s="1"/>
  <c r="I14" i="23" s="1"/>
  <c r="H23" i="21"/>
  <c r="H14" i="23" s="1"/>
  <c r="G23" i="21"/>
  <c r="G14" i="23" s="1"/>
  <c r="F23" i="21"/>
  <c r="F14" i="23" s="1"/>
  <c r="E23" i="21"/>
  <c r="E14" i="23" s="1"/>
  <c r="D23" i="21"/>
  <c r="D14" i="23" s="1"/>
  <c r="C23" i="21"/>
  <c r="C14" i="23" s="1"/>
  <c r="V67" i="15"/>
  <c r="U67" i="15"/>
  <c r="T67" i="15"/>
  <c r="R67" i="15"/>
  <c r="Q67" i="15"/>
  <c r="V66" i="15"/>
  <c r="U66" i="15"/>
  <c r="T66" i="15"/>
  <c r="R66" i="15"/>
  <c r="Q66" i="15"/>
  <c r="V65" i="15"/>
  <c r="U65" i="15"/>
  <c r="T65" i="15"/>
  <c r="R65" i="15"/>
  <c r="Q65" i="15"/>
  <c r="V64" i="15"/>
  <c r="U64" i="15"/>
  <c r="T64" i="15"/>
  <c r="R64" i="15"/>
  <c r="Q64" i="15"/>
  <c r="V63" i="15"/>
  <c r="U63" i="15"/>
  <c r="T63" i="15"/>
  <c r="R63" i="15"/>
  <c r="Q63" i="15"/>
  <c r="V62" i="15"/>
  <c r="U62" i="15"/>
  <c r="T62" i="15"/>
  <c r="R62" i="15"/>
  <c r="Q62" i="15"/>
  <c r="V61" i="15"/>
  <c r="U61" i="15"/>
  <c r="T61" i="15"/>
  <c r="R61" i="15"/>
  <c r="Q61" i="15"/>
  <c r="V60" i="15"/>
  <c r="U60" i="15"/>
  <c r="T60" i="15"/>
  <c r="R60" i="15"/>
  <c r="Q60" i="15"/>
  <c r="V59" i="15"/>
  <c r="U59" i="15"/>
  <c r="T59" i="15"/>
  <c r="R59" i="15"/>
  <c r="Q59" i="15"/>
  <c r="V58" i="15"/>
  <c r="U58" i="15"/>
  <c r="T58" i="15"/>
  <c r="R58" i="15"/>
  <c r="Q58" i="15"/>
  <c r="V57" i="15"/>
  <c r="U57" i="15"/>
  <c r="T57" i="15"/>
  <c r="R57" i="15"/>
  <c r="Q57" i="15"/>
  <c r="V56" i="15"/>
  <c r="U56" i="15"/>
  <c r="T56" i="15"/>
  <c r="R56" i="15"/>
  <c r="Q56" i="15"/>
  <c r="V55" i="15"/>
  <c r="U55" i="15"/>
  <c r="T55" i="15"/>
  <c r="R55" i="15"/>
  <c r="Q55" i="15"/>
  <c r="V54" i="15"/>
  <c r="U54" i="15"/>
  <c r="T54" i="15"/>
  <c r="R54" i="15"/>
  <c r="Q54" i="15"/>
  <c r="V53" i="15"/>
  <c r="U53" i="15"/>
  <c r="T53" i="15"/>
  <c r="R53" i="15"/>
  <c r="Q53" i="15"/>
  <c r="V52" i="15"/>
  <c r="U52" i="15"/>
  <c r="T52" i="15"/>
  <c r="R52" i="15"/>
  <c r="Q52" i="15"/>
  <c r="V51" i="15"/>
  <c r="U51" i="15"/>
  <c r="T51" i="15"/>
  <c r="R51" i="15"/>
  <c r="Q51" i="15"/>
  <c r="V50" i="15"/>
  <c r="U50" i="15"/>
  <c r="T50" i="15"/>
  <c r="R50" i="15"/>
  <c r="Q50" i="15"/>
  <c r="V49" i="15"/>
  <c r="U49" i="15"/>
  <c r="T49" i="15"/>
  <c r="R49" i="15"/>
  <c r="Q49" i="15"/>
  <c r="V48" i="15"/>
  <c r="U48" i="15"/>
  <c r="T48" i="15"/>
  <c r="R48" i="15"/>
  <c r="Q48" i="15"/>
  <c r="V47" i="15"/>
  <c r="U47" i="15"/>
  <c r="T47" i="15"/>
  <c r="R47" i="15"/>
  <c r="Q47" i="15"/>
  <c r="V46" i="15"/>
  <c r="U46" i="15"/>
  <c r="T46" i="15"/>
  <c r="R46" i="15"/>
  <c r="Q46" i="15"/>
  <c r="V45" i="15"/>
  <c r="U45" i="15"/>
  <c r="T45" i="15"/>
  <c r="R45" i="15"/>
  <c r="Q45" i="15"/>
  <c r="V44" i="15"/>
  <c r="U44" i="15"/>
  <c r="T44" i="15"/>
  <c r="R44" i="15"/>
  <c r="Q44" i="15"/>
  <c r="P34" i="15"/>
  <c r="P9" i="21" s="1"/>
  <c r="P6" i="23" s="1"/>
  <c r="O34" i="15"/>
  <c r="O9" i="21" s="1"/>
  <c r="O6" i="23" s="1"/>
  <c r="N9" i="21"/>
  <c r="N6" i="23" s="1"/>
  <c r="M34" i="15"/>
  <c r="M9" i="21" s="1"/>
  <c r="M6" i="23" s="1"/>
  <c r="L34" i="15"/>
  <c r="L9" i="21" s="1"/>
  <c r="L6" i="23" s="1"/>
  <c r="K34" i="15"/>
  <c r="K9" i="21" s="1"/>
  <c r="K6" i="23" s="1"/>
  <c r="J34" i="15"/>
  <c r="J9" i="21" s="1"/>
  <c r="J6" i="23" s="1"/>
  <c r="I34" i="15"/>
  <c r="I9" i="21" s="1"/>
  <c r="I6" i="23" s="1"/>
  <c r="H34" i="15"/>
  <c r="H9" i="21" s="1"/>
  <c r="H6" i="23" s="1"/>
  <c r="G34" i="15"/>
  <c r="G9" i="21" s="1"/>
  <c r="G6" i="23" s="1"/>
  <c r="F34" i="15"/>
  <c r="F9" i="21" s="1"/>
  <c r="F6" i="23" s="1"/>
  <c r="E34" i="15"/>
  <c r="E9" i="21" s="1"/>
  <c r="E6" i="23" s="1"/>
  <c r="D34" i="15"/>
  <c r="D9" i="21" s="1"/>
  <c r="D6" i="23" s="1"/>
  <c r="C34" i="15"/>
  <c r="C9" i="21" s="1"/>
  <c r="C6" i="23" s="1"/>
  <c r="B34" i="15"/>
  <c r="B9" i="21" s="1"/>
  <c r="B6" i="23" s="1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R33" i="15"/>
  <c r="Q33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R32" i="15"/>
  <c r="Q32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R31" i="15"/>
  <c r="Q31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R30" i="15"/>
  <c r="Q30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R29" i="15"/>
  <c r="Q29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R28" i="15"/>
  <c r="Q28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R27" i="15"/>
  <c r="Q27" i="15"/>
  <c r="AL26" i="15"/>
  <c r="AK26" i="15"/>
  <c r="AJ26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R26" i="15"/>
  <c r="Q26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R25" i="15"/>
  <c r="Q25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R24" i="15"/>
  <c r="Q24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R23" i="15"/>
  <c r="Q23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R22" i="15"/>
  <c r="Q22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R21" i="15"/>
  <c r="Q21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R20" i="15"/>
  <c r="Q20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R19" i="15"/>
  <c r="Q19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R18" i="15"/>
  <c r="Q18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R17" i="15"/>
  <c r="Q17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R16" i="15"/>
  <c r="Q16" i="15"/>
  <c r="AL15" i="15"/>
  <c r="AK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R15" i="15"/>
  <c r="Q15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R14" i="15"/>
  <c r="Q14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R13" i="15"/>
  <c r="Q13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R12" i="15"/>
  <c r="Q12" i="15"/>
  <c r="AL11" i="15"/>
  <c r="AK11" i="15"/>
  <c r="AJ11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R11" i="15"/>
  <c r="Q11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R10" i="15"/>
  <c r="Q10" i="15"/>
  <c r="P68" i="14"/>
  <c r="P22" i="21" s="1"/>
  <c r="P13" i="23" s="1"/>
  <c r="O68" i="14"/>
  <c r="O22" i="21" s="1"/>
  <c r="O13" i="23" s="1"/>
  <c r="N68" i="14"/>
  <c r="N22" i="21" s="1"/>
  <c r="N13" i="23" s="1"/>
  <c r="M22" i="21"/>
  <c r="M13" i="23" s="1"/>
  <c r="L68" i="14"/>
  <c r="L22" i="21" s="1"/>
  <c r="L13" i="23" s="1"/>
  <c r="K68" i="14"/>
  <c r="K22" i="21" s="1"/>
  <c r="K13" i="23" s="1"/>
  <c r="J68" i="14"/>
  <c r="J22" i="21" s="1"/>
  <c r="J13" i="23" s="1"/>
  <c r="I68" i="14"/>
  <c r="I22" i="21" s="1"/>
  <c r="I13" i="23" s="1"/>
  <c r="H68" i="14"/>
  <c r="H22" i="21" s="1"/>
  <c r="H13" i="23" s="1"/>
  <c r="G68" i="14"/>
  <c r="G22" i="21" s="1"/>
  <c r="G13" i="23" s="1"/>
  <c r="F68" i="14"/>
  <c r="F22" i="21" s="1"/>
  <c r="F13" i="23" s="1"/>
  <c r="E68" i="14"/>
  <c r="E22" i="21" s="1"/>
  <c r="E13" i="23" s="1"/>
  <c r="D68" i="14"/>
  <c r="D22" i="21" s="1"/>
  <c r="D13" i="23" s="1"/>
  <c r="B68" i="14"/>
  <c r="B22" i="21" s="1"/>
  <c r="B13" i="23" s="1"/>
  <c r="V67" i="14"/>
  <c r="T67" i="14"/>
  <c r="V66" i="14"/>
  <c r="T66" i="14"/>
  <c r="V65" i="14"/>
  <c r="T65" i="14"/>
  <c r="V64" i="14"/>
  <c r="T64" i="14"/>
  <c r="V63" i="14"/>
  <c r="T63" i="14"/>
  <c r="V62" i="14"/>
  <c r="T62" i="14"/>
  <c r="V61" i="14"/>
  <c r="T61" i="14"/>
  <c r="V60" i="14"/>
  <c r="T60" i="14"/>
  <c r="V59" i="14"/>
  <c r="T59" i="14"/>
  <c r="V58" i="14"/>
  <c r="T58" i="14"/>
  <c r="V57" i="14"/>
  <c r="T57" i="14"/>
  <c r="V56" i="14"/>
  <c r="T56" i="14"/>
  <c r="V55" i="14"/>
  <c r="T55" i="14"/>
  <c r="V54" i="14"/>
  <c r="T54" i="14"/>
  <c r="V53" i="14"/>
  <c r="T53" i="14"/>
  <c r="V52" i="14"/>
  <c r="T52" i="14"/>
  <c r="V51" i="14"/>
  <c r="T51" i="14"/>
  <c r="V50" i="14"/>
  <c r="T50" i="14"/>
  <c r="V49" i="14"/>
  <c r="T49" i="14"/>
  <c r="V48" i="14"/>
  <c r="T48" i="14"/>
  <c r="V47" i="14"/>
  <c r="T47" i="14"/>
  <c r="V46" i="14"/>
  <c r="T46" i="14"/>
  <c r="V45" i="14"/>
  <c r="T45" i="14"/>
  <c r="T44" i="14"/>
  <c r="P34" i="14"/>
  <c r="P8" i="21" s="1"/>
  <c r="P5" i="23" s="1"/>
  <c r="O34" i="14"/>
  <c r="O8" i="21" s="1"/>
  <c r="O5" i="23" s="1"/>
  <c r="N34" i="14"/>
  <c r="N8" i="21" s="1"/>
  <c r="N5" i="23" s="1"/>
  <c r="M34" i="14"/>
  <c r="M8" i="21" s="1"/>
  <c r="M5" i="23" s="1"/>
  <c r="L34" i="14"/>
  <c r="L8" i="21" s="1"/>
  <c r="L5" i="23" s="1"/>
  <c r="K34" i="14"/>
  <c r="K8" i="21" s="1"/>
  <c r="K5" i="23" s="1"/>
  <c r="J34" i="14"/>
  <c r="J8" i="21" s="1"/>
  <c r="J5" i="23" s="1"/>
  <c r="I34" i="14"/>
  <c r="I8" i="21" s="1"/>
  <c r="I5" i="23" s="1"/>
  <c r="H8" i="21"/>
  <c r="H5" i="23" s="1"/>
  <c r="G8" i="21"/>
  <c r="G5" i="23" s="1"/>
  <c r="F8" i="21"/>
  <c r="F5" i="23" s="1"/>
  <c r="E34" i="14"/>
  <c r="E8" i="21" s="1"/>
  <c r="E5" i="23" s="1"/>
  <c r="D34" i="14"/>
  <c r="D8" i="21" s="1"/>
  <c r="D5" i="23" s="1"/>
  <c r="C34" i="14"/>
  <c r="C8" i="21" s="1"/>
  <c r="C5" i="23" s="1"/>
  <c r="B8" i="21"/>
  <c r="B5" i="23" s="1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X33" i="14"/>
  <c r="W33" i="14"/>
  <c r="V33" i="14"/>
  <c r="U33" i="14"/>
  <c r="T33" i="14"/>
  <c r="R33" i="14"/>
  <c r="Q33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X32" i="14"/>
  <c r="W32" i="14"/>
  <c r="V32" i="14"/>
  <c r="U32" i="14"/>
  <c r="T32" i="14"/>
  <c r="R32" i="14"/>
  <c r="Q32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X31" i="14"/>
  <c r="W31" i="14"/>
  <c r="V31" i="14"/>
  <c r="U31" i="14"/>
  <c r="T31" i="14"/>
  <c r="R31" i="14"/>
  <c r="Q31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X30" i="14"/>
  <c r="W30" i="14"/>
  <c r="V30" i="14"/>
  <c r="U30" i="14"/>
  <c r="T30" i="14"/>
  <c r="R30" i="14"/>
  <c r="Q30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X29" i="14"/>
  <c r="W29" i="14"/>
  <c r="V29" i="14"/>
  <c r="U29" i="14"/>
  <c r="T29" i="14"/>
  <c r="R29" i="14"/>
  <c r="Q29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X28" i="14"/>
  <c r="W28" i="14"/>
  <c r="V28" i="14"/>
  <c r="U28" i="14"/>
  <c r="T28" i="14"/>
  <c r="R28" i="14"/>
  <c r="Q28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X27" i="14"/>
  <c r="W27" i="14"/>
  <c r="V27" i="14"/>
  <c r="U27" i="14"/>
  <c r="T27" i="14"/>
  <c r="R27" i="14"/>
  <c r="Q27" i="14"/>
  <c r="AL26" i="14"/>
  <c r="AK26" i="14"/>
  <c r="AJ26" i="14"/>
  <c r="AI26" i="14"/>
  <c r="AH26" i="14"/>
  <c r="AG26" i="14"/>
  <c r="AF26" i="14"/>
  <c r="AE26" i="14"/>
  <c r="AD26" i="14"/>
  <c r="AC26" i="14"/>
  <c r="AB26" i="14"/>
  <c r="AA26" i="14"/>
  <c r="Z26" i="14"/>
  <c r="X26" i="14"/>
  <c r="W26" i="14"/>
  <c r="V26" i="14"/>
  <c r="U26" i="14"/>
  <c r="T26" i="14"/>
  <c r="R26" i="14"/>
  <c r="Q26" i="14"/>
  <c r="AL25" i="14"/>
  <c r="AK25" i="14"/>
  <c r="AJ25" i="14"/>
  <c r="AI25" i="14"/>
  <c r="AH25" i="14"/>
  <c r="AG25" i="14"/>
  <c r="AF25" i="14"/>
  <c r="AE25" i="14"/>
  <c r="AD25" i="14"/>
  <c r="AC25" i="14"/>
  <c r="AB25" i="14"/>
  <c r="AA25" i="14"/>
  <c r="Z25" i="14"/>
  <c r="X25" i="14"/>
  <c r="W25" i="14"/>
  <c r="V25" i="14"/>
  <c r="U25" i="14"/>
  <c r="T25" i="14"/>
  <c r="R25" i="14"/>
  <c r="Q25" i="14"/>
  <c r="AL24" i="14"/>
  <c r="AK24" i="14"/>
  <c r="AJ24" i="14"/>
  <c r="AI24" i="14"/>
  <c r="AH24" i="14"/>
  <c r="AG24" i="14"/>
  <c r="AF24" i="14"/>
  <c r="AE24" i="14"/>
  <c r="AD24" i="14"/>
  <c r="AC24" i="14"/>
  <c r="AB24" i="14"/>
  <c r="AA24" i="14"/>
  <c r="Z24" i="14"/>
  <c r="X24" i="14"/>
  <c r="W24" i="14"/>
  <c r="V24" i="14"/>
  <c r="U24" i="14"/>
  <c r="T24" i="14"/>
  <c r="R24" i="14"/>
  <c r="Q24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X23" i="14"/>
  <c r="W23" i="14"/>
  <c r="V23" i="14"/>
  <c r="U23" i="14"/>
  <c r="T23" i="14"/>
  <c r="R23" i="14"/>
  <c r="Q23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X22" i="14"/>
  <c r="W22" i="14"/>
  <c r="V22" i="14"/>
  <c r="U22" i="14"/>
  <c r="T22" i="14"/>
  <c r="R22" i="14"/>
  <c r="Q22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X21" i="14"/>
  <c r="W21" i="14"/>
  <c r="V21" i="14"/>
  <c r="U21" i="14"/>
  <c r="T21" i="14"/>
  <c r="R21" i="14"/>
  <c r="Q21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X20" i="14"/>
  <c r="W20" i="14"/>
  <c r="V20" i="14"/>
  <c r="U20" i="14"/>
  <c r="T20" i="14"/>
  <c r="R20" i="14"/>
  <c r="Q20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X19" i="14"/>
  <c r="W19" i="14"/>
  <c r="V19" i="14"/>
  <c r="U19" i="14"/>
  <c r="T19" i="14"/>
  <c r="R19" i="14"/>
  <c r="Q19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X18" i="14"/>
  <c r="W18" i="14"/>
  <c r="V18" i="14"/>
  <c r="U18" i="14"/>
  <c r="T18" i="14"/>
  <c r="R18" i="14"/>
  <c r="Q18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X17" i="14"/>
  <c r="W17" i="14"/>
  <c r="V17" i="14"/>
  <c r="U17" i="14"/>
  <c r="T17" i="14"/>
  <c r="R17" i="14"/>
  <c r="Q17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X16" i="14"/>
  <c r="W16" i="14"/>
  <c r="V16" i="14"/>
  <c r="U16" i="14"/>
  <c r="T16" i="14"/>
  <c r="R16" i="14"/>
  <c r="Q16" i="14"/>
  <c r="AL15" i="14"/>
  <c r="AK15" i="14"/>
  <c r="AJ15" i="14"/>
  <c r="AI15" i="14"/>
  <c r="AH15" i="14"/>
  <c r="AG15" i="14"/>
  <c r="AF15" i="14"/>
  <c r="AE15" i="14"/>
  <c r="AD15" i="14"/>
  <c r="AC15" i="14"/>
  <c r="AB15" i="14"/>
  <c r="AA15" i="14"/>
  <c r="Z15" i="14"/>
  <c r="X15" i="14"/>
  <c r="W15" i="14"/>
  <c r="V15" i="14"/>
  <c r="U15" i="14"/>
  <c r="T15" i="14"/>
  <c r="R15" i="14"/>
  <c r="Q15" i="14"/>
  <c r="AL14" i="14"/>
  <c r="AK14" i="14"/>
  <c r="AJ14" i="14"/>
  <c r="AI14" i="14"/>
  <c r="AH14" i="14"/>
  <c r="AG14" i="14"/>
  <c r="AF14" i="14"/>
  <c r="AE14" i="14"/>
  <c r="AD14" i="14"/>
  <c r="AC14" i="14"/>
  <c r="AB14" i="14"/>
  <c r="AA14" i="14"/>
  <c r="Z14" i="14"/>
  <c r="X14" i="14"/>
  <c r="W14" i="14"/>
  <c r="V14" i="14"/>
  <c r="U14" i="14"/>
  <c r="T14" i="14"/>
  <c r="R14" i="14"/>
  <c r="Q14" i="14"/>
  <c r="AL13" i="14"/>
  <c r="AK13" i="14"/>
  <c r="AJ13" i="14"/>
  <c r="AI13" i="14"/>
  <c r="AH13" i="14"/>
  <c r="AG13" i="14"/>
  <c r="AF13" i="14"/>
  <c r="AE13" i="14"/>
  <c r="AD13" i="14"/>
  <c r="AC13" i="14"/>
  <c r="AB13" i="14"/>
  <c r="AA13" i="14"/>
  <c r="Z13" i="14"/>
  <c r="X13" i="14"/>
  <c r="W13" i="14"/>
  <c r="V13" i="14"/>
  <c r="U13" i="14"/>
  <c r="T13" i="14"/>
  <c r="R13" i="14"/>
  <c r="Q13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X12" i="14"/>
  <c r="W12" i="14"/>
  <c r="V12" i="14"/>
  <c r="U12" i="14"/>
  <c r="T12" i="14"/>
  <c r="R12" i="14"/>
  <c r="Q12" i="14"/>
  <c r="AL11" i="14"/>
  <c r="AK11" i="14"/>
  <c r="AJ11" i="14"/>
  <c r="AI11" i="14"/>
  <c r="AH11" i="14"/>
  <c r="AG11" i="14"/>
  <c r="AF11" i="14"/>
  <c r="AE11" i="14"/>
  <c r="AD11" i="14"/>
  <c r="AC11" i="14"/>
  <c r="AB11" i="14"/>
  <c r="AA11" i="14"/>
  <c r="Z11" i="14"/>
  <c r="X11" i="14"/>
  <c r="W11" i="14"/>
  <c r="V11" i="14"/>
  <c r="U11" i="14"/>
  <c r="T11" i="14"/>
  <c r="R11" i="14"/>
  <c r="Q11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X10" i="14"/>
  <c r="W10" i="14"/>
  <c r="V10" i="14"/>
  <c r="U10" i="14"/>
  <c r="T10" i="14"/>
  <c r="R10" i="14"/>
  <c r="Q10" i="14"/>
  <c r="P21" i="21"/>
  <c r="O21" i="21"/>
  <c r="O12" i="23" s="1"/>
  <c r="N21" i="21"/>
  <c r="N12" i="23" s="1"/>
  <c r="M21" i="21"/>
  <c r="M12" i="23" s="1"/>
  <c r="L21" i="21"/>
  <c r="L12" i="23" s="1"/>
  <c r="K21" i="21"/>
  <c r="K12" i="23" s="1"/>
  <c r="J21" i="21"/>
  <c r="J12" i="23" s="1"/>
  <c r="I21" i="21"/>
  <c r="I12" i="23" s="1"/>
  <c r="H21" i="21"/>
  <c r="H12" i="23" s="1"/>
  <c r="G21" i="21"/>
  <c r="G12" i="23" s="1"/>
  <c r="F21" i="21"/>
  <c r="F12" i="23" s="1"/>
  <c r="E21" i="21"/>
  <c r="E12" i="23" s="1"/>
  <c r="D21" i="21"/>
  <c r="D12" i="23" s="1"/>
  <c r="C21" i="21"/>
  <c r="C12" i="23" s="1"/>
  <c r="B21" i="21"/>
  <c r="B12" i="23" s="1"/>
  <c r="V67" i="13"/>
  <c r="U67" i="13"/>
  <c r="T67" i="13"/>
  <c r="R67" i="13"/>
  <c r="Q67" i="13"/>
  <c r="V66" i="13"/>
  <c r="U66" i="13"/>
  <c r="T66" i="13"/>
  <c r="R66" i="13"/>
  <c r="Q66" i="13"/>
  <c r="V65" i="13"/>
  <c r="U65" i="13"/>
  <c r="T65" i="13"/>
  <c r="R65" i="13"/>
  <c r="Q65" i="13"/>
  <c r="V64" i="13"/>
  <c r="U64" i="13"/>
  <c r="T64" i="13"/>
  <c r="R64" i="13"/>
  <c r="Q64" i="13"/>
  <c r="V63" i="13"/>
  <c r="U63" i="13"/>
  <c r="T63" i="13"/>
  <c r="R63" i="13"/>
  <c r="Q63" i="13"/>
  <c r="V62" i="13"/>
  <c r="U62" i="13"/>
  <c r="T62" i="13"/>
  <c r="R62" i="13"/>
  <c r="Q62" i="13"/>
  <c r="V61" i="13"/>
  <c r="U61" i="13"/>
  <c r="T61" i="13"/>
  <c r="R61" i="13"/>
  <c r="Q61" i="13"/>
  <c r="V60" i="13"/>
  <c r="U60" i="13"/>
  <c r="T60" i="13"/>
  <c r="R60" i="13"/>
  <c r="Q60" i="13"/>
  <c r="V59" i="13"/>
  <c r="U59" i="13"/>
  <c r="T59" i="13"/>
  <c r="R59" i="13"/>
  <c r="Q59" i="13"/>
  <c r="V58" i="13"/>
  <c r="U58" i="13"/>
  <c r="T58" i="13"/>
  <c r="R58" i="13"/>
  <c r="Q58" i="13"/>
  <c r="V57" i="13"/>
  <c r="U57" i="13"/>
  <c r="T57" i="13"/>
  <c r="R57" i="13"/>
  <c r="Q57" i="13"/>
  <c r="V56" i="13"/>
  <c r="U56" i="13"/>
  <c r="T56" i="13"/>
  <c r="R56" i="13"/>
  <c r="Q56" i="13"/>
  <c r="V55" i="13"/>
  <c r="U55" i="13"/>
  <c r="T55" i="13"/>
  <c r="R55" i="13"/>
  <c r="Q55" i="13"/>
  <c r="V54" i="13"/>
  <c r="U54" i="13"/>
  <c r="T54" i="13"/>
  <c r="R54" i="13"/>
  <c r="Q54" i="13"/>
  <c r="V53" i="13"/>
  <c r="U53" i="13"/>
  <c r="T53" i="13"/>
  <c r="R53" i="13"/>
  <c r="Q53" i="13"/>
  <c r="V52" i="13"/>
  <c r="U52" i="13"/>
  <c r="T52" i="13"/>
  <c r="R52" i="13"/>
  <c r="Q52" i="13"/>
  <c r="V51" i="13"/>
  <c r="U51" i="13"/>
  <c r="T51" i="13"/>
  <c r="R51" i="13"/>
  <c r="Q51" i="13"/>
  <c r="V50" i="13"/>
  <c r="U50" i="13"/>
  <c r="T50" i="13"/>
  <c r="R50" i="13"/>
  <c r="Q50" i="13"/>
  <c r="V49" i="13"/>
  <c r="U49" i="13"/>
  <c r="T49" i="13"/>
  <c r="R49" i="13"/>
  <c r="Q49" i="13"/>
  <c r="V48" i="13"/>
  <c r="U48" i="13"/>
  <c r="T48" i="13"/>
  <c r="R48" i="13"/>
  <c r="Q48" i="13"/>
  <c r="V47" i="13"/>
  <c r="U47" i="13"/>
  <c r="T47" i="13"/>
  <c r="R47" i="13"/>
  <c r="Q47" i="13"/>
  <c r="V46" i="13"/>
  <c r="U46" i="13"/>
  <c r="T46" i="13"/>
  <c r="R46" i="13"/>
  <c r="Q46" i="13"/>
  <c r="V45" i="13"/>
  <c r="U45" i="13"/>
  <c r="T45" i="13"/>
  <c r="R45" i="13"/>
  <c r="Q45" i="13"/>
  <c r="V44" i="13"/>
  <c r="U44" i="13"/>
  <c r="T44" i="13"/>
  <c r="R44" i="13"/>
  <c r="Q44" i="13"/>
  <c r="O7" i="21"/>
  <c r="O4" i="23" s="1"/>
  <c r="N7" i="21"/>
  <c r="N4" i="23" s="1"/>
  <c r="M7" i="21"/>
  <c r="M4" i="23" s="1"/>
  <c r="L7" i="21"/>
  <c r="L4" i="23" s="1"/>
  <c r="K7" i="21"/>
  <c r="K4" i="23" s="1"/>
  <c r="J7" i="21"/>
  <c r="J4" i="23" s="1"/>
  <c r="I7" i="21"/>
  <c r="I4" i="23" s="1"/>
  <c r="H7" i="21"/>
  <c r="H4" i="23" s="1"/>
  <c r="G7" i="21"/>
  <c r="G4" i="23" s="1"/>
  <c r="F7" i="21"/>
  <c r="F4" i="23" s="1"/>
  <c r="E7" i="21"/>
  <c r="E4" i="23" s="1"/>
  <c r="D7" i="21"/>
  <c r="D4" i="23" s="1"/>
  <c r="C7" i="21"/>
  <c r="C4" i="23" s="1"/>
  <c r="B7" i="21"/>
  <c r="B4" i="23" s="1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R33" i="13"/>
  <c r="Q33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R32" i="13"/>
  <c r="Q32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R31" i="13"/>
  <c r="Q31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R30" i="13"/>
  <c r="Q30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R29" i="13"/>
  <c r="Q29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R28" i="13"/>
  <c r="Q28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R27" i="13"/>
  <c r="Q27" i="13"/>
  <c r="AL26" i="13"/>
  <c r="AK26" i="13"/>
  <c r="AJ26" i="13"/>
  <c r="AI26" i="13"/>
  <c r="AH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R26" i="13"/>
  <c r="Q26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R25" i="13"/>
  <c r="Q25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R24" i="13"/>
  <c r="Q24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R23" i="13"/>
  <c r="Q23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R22" i="13"/>
  <c r="Q22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R21" i="13"/>
  <c r="Q21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R20" i="13"/>
  <c r="Q20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R19" i="13"/>
  <c r="Q19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R18" i="13"/>
  <c r="Q18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R17" i="13"/>
  <c r="Q17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R16" i="13"/>
  <c r="Q16" i="13"/>
  <c r="AL15" i="13"/>
  <c r="AK15" i="13"/>
  <c r="AJ15" i="13"/>
  <c r="AI15" i="13"/>
  <c r="AH15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R15" i="13"/>
  <c r="Q15" i="13"/>
  <c r="AL14" i="13"/>
  <c r="AK14" i="13"/>
  <c r="AJ14" i="13"/>
  <c r="AI14" i="13"/>
  <c r="AH14" i="13"/>
  <c r="AG14" i="13"/>
  <c r="AF14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R14" i="13"/>
  <c r="Q14" i="13"/>
  <c r="AL13" i="13"/>
  <c r="AK13" i="13"/>
  <c r="AJ13" i="13"/>
  <c r="AI13" i="13"/>
  <c r="AH13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R13" i="13"/>
  <c r="Q13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Q12" i="13"/>
  <c r="AL11" i="13"/>
  <c r="AK11" i="13"/>
  <c r="AJ11" i="13"/>
  <c r="AI11" i="13"/>
  <c r="AH11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R11" i="13"/>
  <c r="Q11" i="13"/>
  <c r="AL10" i="13"/>
  <c r="AK10" i="13"/>
  <c r="AJ10" i="13"/>
  <c r="AI10" i="13"/>
  <c r="AH10" i="13"/>
  <c r="AG10" i="13"/>
  <c r="AF10" i="13"/>
  <c r="AE10" i="13"/>
  <c r="AD10" i="13"/>
  <c r="AC10" i="13"/>
  <c r="AB10" i="13"/>
  <c r="AA10" i="13"/>
  <c r="Z10" i="13"/>
  <c r="Y10" i="13"/>
  <c r="X10" i="13"/>
  <c r="W10" i="13"/>
  <c r="V10" i="13"/>
  <c r="U10" i="13"/>
  <c r="T10" i="13"/>
  <c r="R10" i="13"/>
  <c r="Q10" i="13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10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X10" i="1"/>
  <c r="C20" i="21"/>
  <c r="C11" i="23" s="1"/>
  <c r="D68" i="1"/>
  <c r="D20" i="21" s="1"/>
  <c r="D11" i="23" s="1"/>
  <c r="E68" i="1"/>
  <c r="E20" i="21" s="1"/>
  <c r="E11" i="23" s="1"/>
  <c r="F68" i="1"/>
  <c r="F20" i="21" s="1"/>
  <c r="F11" i="23" s="1"/>
  <c r="G68" i="1"/>
  <c r="G20" i="21" s="1"/>
  <c r="G11" i="23" s="1"/>
  <c r="H68" i="1"/>
  <c r="H20" i="21" s="1"/>
  <c r="H11" i="23" s="1"/>
  <c r="I68" i="1"/>
  <c r="I20" i="21" s="1"/>
  <c r="I11" i="23" s="1"/>
  <c r="J68" i="1"/>
  <c r="J20" i="21" s="1"/>
  <c r="J11" i="23" s="1"/>
  <c r="K68" i="1"/>
  <c r="K20" i="21" s="1"/>
  <c r="K11" i="23" s="1"/>
  <c r="L68" i="1"/>
  <c r="L20" i="21" s="1"/>
  <c r="L11" i="23" s="1"/>
  <c r="M20" i="21"/>
  <c r="M11" i="23" s="1"/>
  <c r="N68" i="1"/>
  <c r="N20" i="21" s="1"/>
  <c r="N11" i="23" s="1"/>
  <c r="O68" i="1"/>
  <c r="O20" i="21" s="1"/>
  <c r="O11" i="23" s="1"/>
  <c r="P68" i="1"/>
  <c r="P20" i="21" s="1"/>
  <c r="P11" i="23" s="1"/>
  <c r="V67" i="1"/>
  <c r="U67" i="1"/>
  <c r="T67" i="1"/>
  <c r="R67" i="1"/>
  <c r="Q67" i="1"/>
  <c r="V66" i="1"/>
  <c r="U66" i="1"/>
  <c r="T66" i="1"/>
  <c r="Q66" i="1"/>
  <c r="V65" i="1"/>
  <c r="U65" i="1"/>
  <c r="T65" i="1"/>
  <c r="R65" i="1"/>
  <c r="Q65" i="1"/>
  <c r="V64" i="1"/>
  <c r="U64" i="1"/>
  <c r="T64" i="1"/>
  <c r="R64" i="1"/>
  <c r="Q64" i="1"/>
  <c r="V63" i="1"/>
  <c r="U63" i="1"/>
  <c r="T63" i="1"/>
  <c r="R63" i="1"/>
  <c r="Q63" i="1"/>
  <c r="V62" i="1"/>
  <c r="U62" i="1"/>
  <c r="T62" i="1"/>
  <c r="R62" i="1"/>
  <c r="Q62" i="1"/>
  <c r="V61" i="1"/>
  <c r="U61" i="1"/>
  <c r="T61" i="1"/>
  <c r="R61" i="1"/>
  <c r="Q61" i="1"/>
  <c r="V60" i="1"/>
  <c r="U60" i="1"/>
  <c r="T60" i="1"/>
  <c r="R60" i="1"/>
  <c r="Q60" i="1"/>
  <c r="V59" i="1"/>
  <c r="U59" i="1"/>
  <c r="T59" i="1"/>
  <c r="R59" i="1"/>
  <c r="Q59" i="1"/>
  <c r="V58" i="1"/>
  <c r="U58" i="1"/>
  <c r="T58" i="1"/>
  <c r="R58" i="1"/>
  <c r="Q58" i="1"/>
  <c r="V57" i="1"/>
  <c r="U57" i="1"/>
  <c r="T57" i="1"/>
  <c r="R57" i="1"/>
  <c r="Q57" i="1"/>
  <c r="V56" i="1"/>
  <c r="U56" i="1"/>
  <c r="T56" i="1"/>
  <c r="R56" i="1"/>
  <c r="Q56" i="1"/>
  <c r="V55" i="1"/>
  <c r="U55" i="1"/>
  <c r="T55" i="1"/>
  <c r="R55" i="1"/>
  <c r="Q55" i="1"/>
  <c r="V54" i="1"/>
  <c r="U54" i="1"/>
  <c r="T54" i="1"/>
  <c r="R54" i="1"/>
  <c r="Q54" i="1"/>
  <c r="V53" i="1"/>
  <c r="U53" i="1"/>
  <c r="T53" i="1"/>
  <c r="R53" i="1"/>
  <c r="Q53" i="1"/>
  <c r="V52" i="1"/>
  <c r="U52" i="1"/>
  <c r="T52" i="1"/>
  <c r="R52" i="1"/>
  <c r="Q52" i="1"/>
  <c r="V51" i="1"/>
  <c r="U51" i="1"/>
  <c r="T51" i="1"/>
  <c r="R51" i="1"/>
  <c r="Q51" i="1"/>
  <c r="V50" i="1"/>
  <c r="U50" i="1"/>
  <c r="T50" i="1"/>
  <c r="R50" i="1"/>
  <c r="Q50" i="1"/>
  <c r="V49" i="1"/>
  <c r="U49" i="1"/>
  <c r="T49" i="1"/>
  <c r="R49" i="1"/>
  <c r="Q49" i="1"/>
  <c r="V48" i="1"/>
  <c r="U48" i="1"/>
  <c r="T48" i="1"/>
  <c r="R48" i="1"/>
  <c r="Q48" i="1"/>
  <c r="V47" i="1"/>
  <c r="U47" i="1"/>
  <c r="T47" i="1"/>
  <c r="R47" i="1"/>
  <c r="Q47" i="1"/>
  <c r="V46" i="1"/>
  <c r="U46" i="1"/>
  <c r="T46" i="1"/>
  <c r="R46" i="1"/>
  <c r="Q46" i="1"/>
  <c r="V45" i="1"/>
  <c r="U45" i="1"/>
  <c r="T45" i="1"/>
  <c r="R45" i="1"/>
  <c r="Q45" i="1"/>
  <c r="C6" i="21"/>
  <c r="C3" i="23" s="1"/>
  <c r="D6" i="21"/>
  <c r="D3" i="23" s="1"/>
  <c r="E6" i="21"/>
  <c r="E3" i="23" s="1"/>
  <c r="F6" i="21"/>
  <c r="F3" i="23" s="1"/>
  <c r="G6" i="21"/>
  <c r="G3" i="23" s="1"/>
  <c r="H6" i="21"/>
  <c r="H3" i="23" s="1"/>
  <c r="I6" i="21"/>
  <c r="I3" i="23" s="1"/>
  <c r="J6" i="21"/>
  <c r="J3" i="23" s="1"/>
  <c r="K6" i="21"/>
  <c r="K3" i="23" s="1"/>
  <c r="L6" i="21"/>
  <c r="L3" i="23" s="1"/>
  <c r="M6" i="21"/>
  <c r="M3" i="23" s="1"/>
  <c r="N6" i="21"/>
  <c r="N3" i="23" s="1"/>
  <c r="O6" i="21"/>
  <c r="O3" i="23" s="1"/>
  <c r="P6" i="21"/>
  <c r="P3" i="23" s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10" i="1"/>
  <c r="AR10" i="1" s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10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B6" i="21"/>
  <c r="B3" i="23" s="1"/>
  <c r="AP32" i="1" l="1"/>
  <c r="AP28" i="1"/>
  <c r="AP20" i="1"/>
  <c r="AP12" i="1"/>
  <c r="AP16" i="1"/>
  <c r="P35" i="21"/>
  <c r="P12" i="23"/>
  <c r="R68" i="15"/>
  <c r="R23" i="21" s="1"/>
  <c r="Q68" i="15"/>
  <c r="Q23" i="21" s="1"/>
  <c r="V68" i="15"/>
  <c r="V23" i="21" s="1"/>
  <c r="R14" i="23" s="1"/>
  <c r="G35" i="21"/>
  <c r="B36" i="21"/>
  <c r="AN27" i="1"/>
  <c r="AN23" i="1"/>
  <c r="AN21" i="1"/>
  <c r="U34" i="14"/>
  <c r="U8" i="21" s="1"/>
  <c r="Q34" i="14"/>
  <c r="Q8" i="21" s="1"/>
  <c r="Q68" i="14"/>
  <c r="Q22" i="21" s="1"/>
  <c r="AN31" i="1"/>
  <c r="C27" i="21"/>
  <c r="V34" i="16"/>
  <c r="V10" i="21" s="1"/>
  <c r="R7" i="23" s="1"/>
  <c r="B13" i="21"/>
  <c r="V68" i="16"/>
  <c r="V24" i="21" s="1"/>
  <c r="R15" i="23" s="1"/>
  <c r="T68" i="13"/>
  <c r="T21" i="21" s="1"/>
  <c r="AN17" i="1"/>
  <c r="AR29" i="1"/>
  <c r="AR21" i="1"/>
  <c r="X34" i="1"/>
  <c r="B48" i="8" s="1"/>
  <c r="Q68" i="13"/>
  <c r="Q21" i="21" s="1"/>
  <c r="Q68" i="1"/>
  <c r="Q20" i="21" s="1"/>
  <c r="V68" i="1"/>
  <c r="V20" i="21" s="1"/>
  <c r="R11" i="23" s="1"/>
  <c r="V34" i="1"/>
  <c r="V6" i="21" s="1"/>
  <c r="R3" i="23" s="1"/>
  <c r="S12" i="1"/>
  <c r="AP24" i="1"/>
  <c r="AR19" i="1"/>
  <c r="O7" i="8"/>
  <c r="K7" i="8"/>
  <c r="G7" i="8"/>
  <c r="C7" i="8"/>
  <c r="O29" i="8"/>
  <c r="K29" i="8"/>
  <c r="G29" i="8"/>
  <c r="C29" i="8"/>
  <c r="M27" i="8"/>
  <c r="I27" i="8"/>
  <c r="E27" i="8"/>
  <c r="O25" i="8"/>
  <c r="K25" i="8"/>
  <c r="G25" i="8"/>
  <c r="C25" i="8"/>
  <c r="M23" i="8"/>
  <c r="I23" i="8"/>
  <c r="E23" i="8"/>
  <c r="O21" i="8"/>
  <c r="K21" i="8"/>
  <c r="G21" i="8"/>
  <c r="C21" i="8"/>
  <c r="J29" i="8"/>
  <c r="H27" i="8"/>
  <c r="N29" i="8"/>
  <c r="F29" i="8"/>
  <c r="B29" i="8"/>
  <c r="P27" i="8"/>
  <c r="L27" i="8"/>
  <c r="D27" i="8"/>
  <c r="N30" i="8"/>
  <c r="B30" i="8"/>
  <c r="L28" i="8"/>
  <c r="N26" i="8"/>
  <c r="J26" i="8"/>
  <c r="F26" i="8"/>
  <c r="B26" i="8"/>
  <c r="P24" i="8"/>
  <c r="D24" i="8"/>
  <c r="N22" i="8"/>
  <c r="J22" i="8"/>
  <c r="F22" i="8"/>
  <c r="B22" i="8"/>
  <c r="P20" i="8"/>
  <c r="L20" i="8"/>
  <c r="D20" i="8"/>
  <c r="J30" i="8"/>
  <c r="F30" i="8"/>
  <c r="P28" i="8"/>
  <c r="D28" i="8"/>
  <c r="L24" i="8"/>
  <c r="N18" i="8"/>
  <c r="J18" i="8"/>
  <c r="F18" i="8"/>
  <c r="B18" i="8"/>
  <c r="I17" i="8"/>
  <c r="E17" i="8"/>
  <c r="P16" i="8"/>
  <c r="L16" i="8"/>
  <c r="D16" i="8"/>
  <c r="O15" i="8"/>
  <c r="K15" i="8"/>
  <c r="G15" i="8"/>
  <c r="C15" i="8"/>
  <c r="N14" i="8"/>
  <c r="J14" i="8"/>
  <c r="F14" i="8"/>
  <c r="B14" i="8"/>
  <c r="I13" i="8"/>
  <c r="E13" i="8"/>
  <c r="P12" i="8"/>
  <c r="L12" i="8"/>
  <c r="D12" i="8"/>
  <c r="O11" i="8"/>
  <c r="K11" i="8"/>
  <c r="G11" i="8"/>
  <c r="C11" i="8"/>
  <c r="N10" i="8"/>
  <c r="J10" i="8"/>
  <c r="F10" i="8"/>
  <c r="B10" i="8"/>
  <c r="I9" i="8"/>
  <c r="E9" i="8"/>
  <c r="M19" i="8"/>
  <c r="I19" i="8"/>
  <c r="E19" i="8"/>
  <c r="O17" i="8"/>
  <c r="K17" i="8"/>
  <c r="G17" i="8"/>
  <c r="C17" i="8"/>
  <c r="M15" i="8"/>
  <c r="I15" i="8"/>
  <c r="E15" i="8"/>
  <c r="O13" i="8"/>
  <c r="K13" i="8"/>
  <c r="G13" i="8"/>
  <c r="C13" i="8"/>
  <c r="N8" i="8"/>
  <c r="J8" i="8"/>
  <c r="F8" i="8"/>
  <c r="B8" i="8"/>
  <c r="D39" i="21"/>
  <c r="M11" i="8"/>
  <c r="E11" i="8"/>
  <c r="K9" i="8"/>
  <c r="G9" i="8"/>
  <c r="M7" i="8"/>
  <c r="I7" i="8"/>
  <c r="E7" i="8"/>
  <c r="I11" i="8"/>
  <c r="O9" i="8"/>
  <c r="C9" i="8"/>
  <c r="M36" i="21"/>
  <c r="P29" i="8"/>
  <c r="L29" i="8"/>
  <c r="D29" i="8"/>
  <c r="N27" i="8"/>
  <c r="J27" i="8"/>
  <c r="F27" i="8"/>
  <c r="B27" i="8"/>
  <c r="L25" i="8"/>
  <c r="D25" i="8"/>
  <c r="N23" i="8"/>
  <c r="J23" i="8"/>
  <c r="F23" i="8"/>
  <c r="B23" i="8"/>
  <c r="P21" i="8"/>
  <c r="L21" i="8"/>
  <c r="D21" i="8"/>
  <c r="N19" i="8"/>
  <c r="J19" i="8"/>
  <c r="F19" i="8"/>
  <c r="B19" i="8"/>
  <c r="L18" i="8"/>
  <c r="N16" i="8"/>
  <c r="J16" i="8"/>
  <c r="B16" i="8"/>
  <c r="P14" i="8"/>
  <c r="D14" i="8"/>
  <c r="N12" i="8"/>
  <c r="F12" i="8"/>
  <c r="B12" i="8"/>
  <c r="B7" i="8"/>
  <c r="O30" i="8"/>
  <c r="K30" i="8"/>
  <c r="G30" i="8"/>
  <c r="C30" i="8"/>
  <c r="M28" i="8"/>
  <c r="I28" i="8"/>
  <c r="E28" i="8"/>
  <c r="O26" i="8"/>
  <c r="K26" i="8"/>
  <c r="G26" i="8"/>
  <c r="C26" i="8"/>
  <c r="N25" i="8"/>
  <c r="J25" i="8"/>
  <c r="F25" i="8"/>
  <c r="B25" i="8"/>
  <c r="M24" i="8"/>
  <c r="I24" i="8"/>
  <c r="E24" i="8"/>
  <c r="P23" i="8"/>
  <c r="L23" i="8"/>
  <c r="H23" i="8"/>
  <c r="D23" i="8"/>
  <c r="O22" i="8"/>
  <c r="K22" i="8"/>
  <c r="G22" i="8"/>
  <c r="C22" i="8"/>
  <c r="N21" i="8"/>
  <c r="J21" i="8"/>
  <c r="F21" i="8"/>
  <c r="M20" i="8"/>
  <c r="I20" i="8"/>
  <c r="E20" i="8"/>
  <c r="O18" i="8"/>
  <c r="P25" i="8"/>
  <c r="P18" i="8"/>
  <c r="D18" i="8"/>
  <c r="F16" i="8"/>
  <c r="L14" i="8"/>
  <c r="J12" i="8"/>
  <c r="H29" i="8"/>
  <c r="H25" i="8"/>
  <c r="E29" i="8"/>
  <c r="O27" i="8"/>
  <c r="K27" i="8"/>
  <c r="G27" i="8"/>
  <c r="C27" i="8"/>
  <c r="I25" i="8"/>
  <c r="E25" i="8"/>
  <c r="O23" i="8"/>
  <c r="K23" i="8"/>
  <c r="G23" i="8"/>
  <c r="C23" i="8"/>
  <c r="I21" i="8"/>
  <c r="E21" i="8"/>
  <c r="O19" i="8"/>
  <c r="K19" i="8"/>
  <c r="G19" i="8"/>
  <c r="C19" i="8"/>
  <c r="I29" i="8"/>
  <c r="P17" i="8"/>
  <c r="L17" i="8"/>
  <c r="D17" i="8"/>
  <c r="N15" i="8"/>
  <c r="J15" i="8"/>
  <c r="F15" i="8"/>
  <c r="B15" i="8"/>
  <c r="P13" i="8"/>
  <c r="L13" i="8"/>
  <c r="D13" i="8"/>
  <c r="N11" i="8"/>
  <c r="J11" i="8"/>
  <c r="F11" i="8"/>
  <c r="B11" i="8"/>
  <c r="P9" i="8"/>
  <c r="L9" i="8"/>
  <c r="D9" i="8"/>
  <c r="N7" i="8"/>
  <c r="J7" i="8"/>
  <c r="F7" i="8"/>
  <c r="P30" i="8"/>
  <c r="L30" i="8"/>
  <c r="D30" i="8"/>
  <c r="N28" i="8"/>
  <c r="J28" i="8"/>
  <c r="F28" i="8"/>
  <c r="B28" i="8"/>
  <c r="P26" i="8"/>
  <c r="L26" i="8"/>
  <c r="D26" i="8"/>
  <c r="N24" i="8"/>
  <c r="J24" i="8"/>
  <c r="F24" i="8"/>
  <c r="B24" i="8"/>
  <c r="P22" i="8"/>
  <c r="L22" i="8"/>
  <c r="D22" i="8"/>
  <c r="N20" i="8"/>
  <c r="J20" i="8"/>
  <c r="F20" i="8"/>
  <c r="B20" i="8"/>
  <c r="P7" i="8"/>
  <c r="L7" i="8"/>
  <c r="D7" i="8"/>
  <c r="O8" i="8"/>
  <c r="K8" i="8"/>
  <c r="G8" i="8"/>
  <c r="C8" i="8"/>
  <c r="I30" i="8"/>
  <c r="E30" i="8"/>
  <c r="O28" i="8"/>
  <c r="K28" i="8"/>
  <c r="G28" i="8"/>
  <c r="C28" i="8"/>
  <c r="I26" i="8"/>
  <c r="E26" i="8"/>
  <c r="O24" i="8"/>
  <c r="K24" i="8"/>
  <c r="G24" i="8"/>
  <c r="C24" i="8"/>
  <c r="I22" i="8"/>
  <c r="E22" i="8"/>
  <c r="O20" i="8"/>
  <c r="K20" i="8"/>
  <c r="G20" i="8"/>
  <c r="C20" i="8"/>
  <c r="I18" i="8"/>
  <c r="E18" i="8"/>
  <c r="O16" i="8"/>
  <c r="K16" i="8"/>
  <c r="G16" i="8"/>
  <c r="C16" i="8"/>
  <c r="I14" i="8"/>
  <c r="E14" i="8"/>
  <c r="O12" i="8"/>
  <c r="K12" i="8"/>
  <c r="G12" i="8"/>
  <c r="C12" i="8"/>
  <c r="I10" i="8"/>
  <c r="E10" i="8"/>
  <c r="M29" i="8"/>
  <c r="B21" i="8"/>
  <c r="P19" i="8"/>
  <c r="L19" i="8"/>
  <c r="H19" i="8"/>
  <c r="D19" i="8"/>
  <c r="B9" i="8"/>
  <c r="N17" i="8"/>
  <c r="J17" i="8"/>
  <c r="F17" i="8"/>
  <c r="B17" i="8"/>
  <c r="P15" i="8"/>
  <c r="L15" i="8"/>
  <c r="D15" i="8"/>
  <c r="P8" i="8"/>
  <c r="L8" i="8"/>
  <c r="H8" i="8"/>
  <c r="D8" i="8"/>
  <c r="H21" i="8"/>
  <c r="H17" i="8"/>
  <c r="H13" i="8"/>
  <c r="H9" i="8"/>
  <c r="M25" i="8"/>
  <c r="M21" i="8"/>
  <c r="M17" i="8"/>
  <c r="M13" i="8"/>
  <c r="M9" i="8"/>
  <c r="K18" i="8"/>
  <c r="G18" i="8"/>
  <c r="C18" i="8"/>
  <c r="M16" i="8"/>
  <c r="I16" i="8"/>
  <c r="E16" i="8"/>
  <c r="O14" i="8"/>
  <c r="K14" i="8"/>
  <c r="G14" i="8"/>
  <c r="C14" i="8"/>
  <c r="N13" i="8"/>
  <c r="J13" i="8"/>
  <c r="F13" i="8"/>
  <c r="B13" i="8"/>
  <c r="I12" i="8"/>
  <c r="E12" i="8"/>
  <c r="P11" i="8"/>
  <c r="L11" i="8"/>
  <c r="D11" i="8"/>
  <c r="O10" i="8"/>
  <c r="K10" i="8"/>
  <c r="G10" i="8"/>
  <c r="C10" i="8"/>
  <c r="N9" i="8"/>
  <c r="J9" i="8"/>
  <c r="F9" i="8"/>
  <c r="P10" i="8"/>
  <c r="L10" i="8"/>
  <c r="D10" i="8"/>
  <c r="M8" i="8"/>
  <c r="I8" i="8"/>
  <c r="E8" i="8"/>
  <c r="H15" i="8"/>
  <c r="H11" i="8"/>
  <c r="H7" i="8"/>
  <c r="H28" i="8"/>
  <c r="H24" i="8"/>
  <c r="H20" i="8"/>
  <c r="H16" i="8"/>
  <c r="H12" i="8"/>
  <c r="H30" i="8"/>
  <c r="H26" i="8"/>
  <c r="H22" i="8"/>
  <c r="H18" i="8"/>
  <c r="H14" i="8"/>
  <c r="H10" i="8"/>
  <c r="M30" i="8"/>
  <c r="M26" i="8"/>
  <c r="M22" i="8"/>
  <c r="M18" i="8"/>
  <c r="M14" i="8"/>
  <c r="M10" i="8"/>
  <c r="M12" i="8"/>
  <c r="S23" i="1"/>
  <c r="S16" i="1"/>
  <c r="P39" i="21"/>
  <c r="M38" i="21"/>
  <c r="I38" i="21"/>
  <c r="O37" i="21"/>
  <c r="K37" i="21"/>
  <c r="H37" i="21"/>
  <c r="I36" i="21"/>
  <c r="I35" i="21"/>
  <c r="M35" i="21"/>
  <c r="AR33" i="1"/>
  <c r="S19" i="1"/>
  <c r="F40" i="21"/>
  <c r="J40" i="21"/>
  <c r="N40" i="21"/>
  <c r="S27" i="1"/>
  <c r="C40" i="21"/>
  <c r="B40" i="21"/>
  <c r="E40" i="21"/>
  <c r="E27" i="21"/>
  <c r="D40" i="21"/>
  <c r="I40" i="21"/>
  <c r="I27" i="21"/>
  <c r="H40" i="21"/>
  <c r="G40" i="21"/>
  <c r="O40" i="21"/>
  <c r="P40" i="21"/>
  <c r="L40" i="21"/>
  <c r="K40" i="21"/>
  <c r="M40" i="21"/>
  <c r="M27" i="21"/>
  <c r="O27" i="21"/>
  <c r="O39" i="21"/>
  <c r="N39" i="21"/>
  <c r="M39" i="21"/>
  <c r="L39" i="21"/>
  <c r="K27" i="21"/>
  <c r="J39" i="21"/>
  <c r="G27" i="21"/>
  <c r="G39" i="21"/>
  <c r="F39" i="21"/>
  <c r="I39" i="21"/>
  <c r="E39" i="21"/>
  <c r="C39" i="21"/>
  <c r="B39" i="21"/>
  <c r="B38" i="21"/>
  <c r="C38" i="21"/>
  <c r="D38" i="21"/>
  <c r="E38" i="21"/>
  <c r="H38" i="21"/>
  <c r="G38" i="21"/>
  <c r="F38" i="21"/>
  <c r="P38" i="21"/>
  <c r="O38" i="21"/>
  <c r="K38" i="21"/>
  <c r="J38" i="21"/>
  <c r="L38" i="21"/>
  <c r="N38" i="21"/>
  <c r="C37" i="21"/>
  <c r="E37" i="21"/>
  <c r="D37" i="21"/>
  <c r="G37" i="21"/>
  <c r="P37" i="21"/>
  <c r="F37" i="21"/>
  <c r="I37" i="21"/>
  <c r="B37" i="21"/>
  <c r="J37" i="21"/>
  <c r="L37" i="21"/>
  <c r="M37" i="21"/>
  <c r="N37" i="21"/>
  <c r="C36" i="21"/>
  <c r="D36" i="21"/>
  <c r="O36" i="21"/>
  <c r="P36" i="21"/>
  <c r="G36" i="21"/>
  <c r="F36" i="21"/>
  <c r="H36" i="21"/>
  <c r="K36" i="21"/>
  <c r="J36" i="21"/>
  <c r="L36" i="21"/>
  <c r="AP12" i="14"/>
  <c r="AP16" i="14"/>
  <c r="N36" i="21"/>
  <c r="P27" i="21"/>
  <c r="O35" i="21"/>
  <c r="L27" i="21"/>
  <c r="L35" i="21"/>
  <c r="J27" i="21"/>
  <c r="J35" i="21"/>
  <c r="K35" i="21"/>
  <c r="F27" i="21"/>
  <c r="F35" i="21"/>
  <c r="H27" i="21"/>
  <c r="H35" i="21"/>
  <c r="D27" i="21"/>
  <c r="E35" i="21"/>
  <c r="D35" i="21"/>
  <c r="C35" i="21"/>
  <c r="B35" i="21"/>
  <c r="B27" i="21"/>
  <c r="N27" i="21"/>
  <c r="N35" i="21"/>
  <c r="AR25" i="1"/>
  <c r="AR23" i="1"/>
  <c r="K34" i="21"/>
  <c r="AR27" i="1"/>
  <c r="AR31" i="1"/>
  <c r="H34" i="21"/>
  <c r="E34" i="21"/>
  <c r="S33" i="1"/>
  <c r="S21" i="1"/>
  <c r="B34" i="21"/>
  <c r="P13" i="21"/>
  <c r="P34" i="21"/>
  <c r="L13" i="21"/>
  <c r="L34" i="21"/>
  <c r="D34" i="21"/>
  <c r="D13" i="21"/>
  <c r="O34" i="21"/>
  <c r="O13" i="21"/>
  <c r="G13" i="21"/>
  <c r="G34" i="21"/>
  <c r="C34" i="21"/>
  <c r="C13" i="21"/>
  <c r="J13" i="21"/>
  <c r="J34" i="21"/>
  <c r="F34" i="21"/>
  <c r="F13" i="21"/>
  <c r="M34" i="21"/>
  <c r="M13" i="21"/>
  <c r="I34" i="21"/>
  <c r="I13" i="21"/>
  <c r="N13" i="21"/>
  <c r="N34" i="21"/>
  <c r="E36" i="21"/>
  <c r="E13" i="21"/>
  <c r="H39" i="21"/>
  <c r="H13" i="21"/>
  <c r="K39" i="21"/>
  <c r="K13" i="21"/>
  <c r="AN15" i="18"/>
  <c r="AN23" i="18"/>
  <c r="AN27" i="18"/>
  <c r="AN31" i="18"/>
  <c r="AP18" i="18"/>
  <c r="AP22" i="18"/>
  <c r="AP26" i="18"/>
  <c r="AP30" i="18"/>
  <c r="AP21" i="18"/>
  <c r="AP14" i="18"/>
  <c r="S51" i="17"/>
  <c r="S55" i="17"/>
  <c r="S59" i="17"/>
  <c r="S63" i="17"/>
  <c r="S67" i="17"/>
  <c r="S47" i="17"/>
  <c r="AP16" i="16"/>
  <c r="AR18" i="16"/>
  <c r="AP20" i="16"/>
  <c r="AP19" i="16"/>
  <c r="AP21" i="16"/>
  <c r="AN10" i="16"/>
  <c r="AP12" i="16"/>
  <c r="AM11" i="16"/>
  <c r="AR11" i="16"/>
  <c r="AP13" i="16"/>
  <c r="AP11" i="16"/>
  <c r="AP14" i="16"/>
  <c r="AN16" i="14"/>
  <c r="AP15" i="14"/>
  <c r="AN12" i="14"/>
  <c r="AP11" i="14"/>
  <c r="AP14" i="13"/>
  <c r="AN20" i="1"/>
  <c r="AN16" i="1"/>
  <c r="AR15" i="1"/>
  <c r="AQ30" i="1"/>
  <c r="AR17" i="1"/>
  <c r="AP19" i="1"/>
  <c r="AP15" i="1"/>
  <c r="AP22" i="16"/>
  <c r="S32" i="1"/>
  <c r="S25" i="1"/>
  <c r="S24" i="1"/>
  <c r="S29" i="1"/>
  <c r="S31" i="1"/>
  <c r="S30" i="1"/>
  <c r="S15" i="1"/>
  <c r="S20" i="1"/>
  <c r="S17" i="1"/>
  <c r="AP11" i="1"/>
  <c r="AR13" i="1"/>
  <c r="S11" i="1"/>
  <c r="S13" i="1"/>
  <c r="S50" i="18"/>
  <c r="S59" i="18"/>
  <c r="S63" i="18"/>
  <c r="S67" i="18"/>
  <c r="AP14" i="17"/>
  <c r="AP18" i="17"/>
  <c r="S65" i="16"/>
  <c r="AN17" i="14"/>
  <c r="S55" i="14"/>
  <c r="AN15" i="13"/>
  <c r="AN19" i="13"/>
  <c r="AN23" i="13"/>
  <c r="AN27" i="13"/>
  <c r="AN31" i="13"/>
  <c r="S48" i="13"/>
  <c r="S56" i="13"/>
  <c r="S64" i="13"/>
  <c r="S22" i="1"/>
  <c r="AN13" i="1"/>
  <c r="AN22" i="18"/>
  <c r="AN13" i="18"/>
  <c r="AP12" i="18"/>
  <c r="AP16" i="18"/>
  <c r="AN23" i="17"/>
  <c r="AN27" i="17"/>
  <c r="AN31" i="17"/>
  <c r="S57" i="17"/>
  <c r="AP22" i="17"/>
  <c r="AR24" i="17"/>
  <c r="AP26" i="17"/>
  <c r="AR28" i="17"/>
  <c r="AQ29" i="17"/>
  <c r="AM32" i="17"/>
  <c r="AR32" i="17"/>
  <c r="AQ33" i="17"/>
  <c r="S62" i="17"/>
  <c r="AM24" i="17"/>
  <c r="AQ25" i="17"/>
  <c r="AM28" i="17"/>
  <c r="AP30" i="17"/>
  <c r="S58" i="17"/>
  <c r="AR12" i="17"/>
  <c r="AR16" i="17"/>
  <c r="AQ17" i="17"/>
  <c r="AN19" i="17"/>
  <c r="AM20" i="17"/>
  <c r="S46" i="17"/>
  <c r="S54" i="17"/>
  <c r="AN11" i="17"/>
  <c r="AM12" i="17"/>
  <c r="AQ13" i="17"/>
  <c r="AM16" i="17"/>
  <c r="AR20" i="17"/>
  <c r="AQ21" i="17"/>
  <c r="S50" i="17"/>
  <c r="S45" i="17"/>
  <c r="S49" i="17"/>
  <c r="S53" i="17"/>
  <c r="AN29" i="16"/>
  <c r="AN33" i="16"/>
  <c r="AP24" i="16"/>
  <c r="AP32" i="16"/>
  <c r="AP28" i="16"/>
  <c r="AN17" i="16"/>
  <c r="AP23" i="15"/>
  <c r="AP27" i="15"/>
  <c r="AQ31" i="15"/>
  <c r="AP15" i="15"/>
  <c r="AP12" i="15"/>
  <c r="AP16" i="15"/>
  <c r="AQ19" i="15"/>
  <c r="AP11" i="15"/>
  <c r="S67" i="14"/>
  <c r="AP25" i="14"/>
  <c r="AP29" i="14"/>
  <c r="AP22" i="14"/>
  <c r="AP26" i="14"/>
  <c r="AP30" i="14"/>
  <c r="AP33" i="14"/>
  <c r="S59" i="14"/>
  <c r="S63" i="14"/>
  <c r="AN26" i="14"/>
  <c r="AN30" i="14"/>
  <c r="AN23" i="14"/>
  <c r="AN27" i="14"/>
  <c r="AN31" i="14"/>
  <c r="AN22" i="14"/>
  <c r="AR23" i="14"/>
  <c r="AQ24" i="14"/>
  <c r="AR27" i="14"/>
  <c r="AQ28" i="14"/>
  <c r="AR31" i="14"/>
  <c r="AR32" i="14"/>
  <c r="AQ33" i="14"/>
  <c r="AP13" i="14"/>
  <c r="AP17" i="14"/>
  <c r="AP21" i="14"/>
  <c r="AP14" i="14"/>
  <c r="AP18" i="14"/>
  <c r="AN10" i="14"/>
  <c r="AN14" i="14"/>
  <c r="AN15" i="14"/>
  <c r="AN19" i="14"/>
  <c r="S51" i="14"/>
  <c r="AM10" i="14"/>
  <c r="AR10" i="14"/>
  <c r="AQ11" i="14"/>
  <c r="AR14" i="14"/>
  <c r="AR18" i="14"/>
  <c r="AR11" i="14"/>
  <c r="AQ20" i="14"/>
  <c r="AM11" i="14"/>
  <c r="AQ12" i="14"/>
  <c r="AR15" i="14"/>
  <c r="AR19" i="14"/>
  <c r="AR16" i="14"/>
  <c r="AM12" i="14"/>
  <c r="AR12" i="14"/>
  <c r="AQ17" i="14"/>
  <c r="AR20" i="14"/>
  <c r="S54" i="14"/>
  <c r="AQ14" i="14"/>
  <c r="AP24" i="13"/>
  <c r="AP28" i="13"/>
  <c r="AP32" i="13"/>
  <c r="AP22" i="13"/>
  <c r="AP26" i="13"/>
  <c r="AP30" i="13"/>
  <c r="AN22" i="13"/>
  <c r="AN30" i="13"/>
  <c r="AR24" i="13"/>
  <c r="AQ25" i="13"/>
  <c r="AR32" i="13"/>
  <c r="AQ33" i="13"/>
  <c r="AN16" i="13"/>
  <c r="AN20" i="13"/>
  <c r="AN17" i="13"/>
  <c r="AN21" i="13"/>
  <c r="AN14" i="13"/>
  <c r="AN18" i="13"/>
  <c r="AP16" i="13"/>
  <c r="AP13" i="13"/>
  <c r="AQ20" i="13"/>
  <c r="AP21" i="13"/>
  <c r="M57" i="8"/>
  <c r="M59" i="8" s="1"/>
  <c r="I57" i="8"/>
  <c r="I59" i="8" s="1"/>
  <c r="E57" i="8"/>
  <c r="E59" i="8" s="1"/>
  <c r="AP33" i="1"/>
  <c r="AP29" i="1"/>
  <c r="AP25" i="1"/>
  <c r="AQ26" i="1"/>
  <c r="AQ22" i="1"/>
  <c r="AR30" i="1"/>
  <c r="AR26" i="1"/>
  <c r="AR22" i="1"/>
  <c r="AN30" i="1"/>
  <c r="AN26" i="1"/>
  <c r="AN22" i="1"/>
  <c r="AQ32" i="1"/>
  <c r="AQ28" i="1"/>
  <c r="AQ24" i="1"/>
  <c r="AR32" i="1"/>
  <c r="AR28" i="1"/>
  <c r="AR24" i="1"/>
  <c r="AP21" i="1"/>
  <c r="AP17" i="1"/>
  <c r="AP13" i="1"/>
  <c r="AN12" i="1"/>
  <c r="AQ10" i="1"/>
  <c r="AQ18" i="1"/>
  <c r="AQ14" i="1"/>
  <c r="AQ20" i="1"/>
  <c r="AQ16" i="1"/>
  <c r="AR20" i="1"/>
  <c r="AR16" i="1"/>
  <c r="AN10" i="1"/>
  <c r="AN18" i="1"/>
  <c r="AN14" i="1"/>
  <c r="AR18" i="1"/>
  <c r="AR14" i="1"/>
  <c r="AR11" i="1"/>
  <c r="AP26" i="1"/>
  <c r="AP22" i="1"/>
  <c r="AP30" i="1"/>
  <c r="AP23" i="1"/>
  <c r="AP27" i="1"/>
  <c r="AP31" i="1"/>
  <c r="AN29" i="1"/>
  <c r="AN25" i="1"/>
  <c r="AN33" i="1"/>
  <c r="AN24" i="1"/>
  <c r="AN28" i="1"/>
  <c r="AN32" i="1"/>
  <c r="AP14" i="1"/>
  <c r="AP18" i="1"/>
  <c r="S18" i="1"/>
  <c r="AN11" i="1"/>
  <c r="AN15" i="1"/>
  <c r="AN19" i="1"/>
  <c r="AQ12" i="1"/>
  <c r="AM16" i="1"/>
  <c r="AM20" i="1"/>
  <c r="AP19" i="18"/>
  <c r="AN20" i="18"/>
  <c r="AP20" i="18"/>
  <c r="AP24" i="18"/>
  <c r="AN25" i="18"/>
  <c r="AP28" i="18"/>
  <c r="AN29" i="18"/>
  <c r="AP32" i="18"/>
  <c r="AN33" i="18"/>
  <c r="S49" i="18"/>
  <c r="X34" i="18"/>
  <c r="B54" i="8" s="1"/>
  <c r="D11" i="22" s="1"/>
  <c r="S11" i="18"/>
  <c r="AM11" i="18"/>
  <c r="AM10" i="17"/>
  <c r="AQ11" i="17"/>
  <c r="AP12" i="17"/>
  <c r="AN13" i="17"/>
  <c r="AM14" i="17"/>
  <c r="AR14" i="17"/>
  <c r="AQ15" i="17"/>
  <c r="AP16" i="17"/>
  <c r="AM18" i="17"/>
  <c r="AR18" i="17"/>
  <c r="AQ19" i="17"/>
  <c r="AP20" i="17"/>
  <c r="AN21" i="17"/>
  <c r="AM22" i="17"/>
  <c r="AR22" i="17"/>
  <c r="AQ23" i="17"/>
  <c r="AP24" i="17"/>
  <c r="AN25" i="17"/>
  <c r="AM26" i="17"/>
  <c r="AR26" i="17"/>
  <c r="AQ27" i="17"/>
  <c r="AP28" i="17"/>
  <c r="AN29" i="17"/>
  <c r="AM30" i="17"/>
  <c r="AR30" i="17"/>
  <c r="AQ31" i="17"/>
  <c r="AP32" i="17"/>
  <c r="AN33" i="17"/>
  <c r="R68" i="17"/>
  <c r="R25" i="21" s="1"/>
  <c r="S48" i="17"/>
  <c r="S52" i="17"/>
  <c r="S56" i="17"/>
  <c r="S60" i="17"/>
  <c r="S61" i="17"/>
  <c r="S64" i="17"/>
  <c r="S65" i="17"/>
  <c r="AN23" i="16"/>
  <c r="AP26" i="16"/>
  <c r="AR28" i="16"/>
  <c r="AQ29" i="16"/>
  <c r="AP30" i="16"/>
  <c r="AN31" i="16"/>
  <c r="AR32" i="16"/>
  <c r="AQ33" i="16"/>
  <c r="T68" i="16"/>
  <c r="T24" i="21" s="1"/>
  <c r="S46" i="16"/>
  <c r="S63" i="16"/>
  <c r="S67" i="16"/>
  <c r="AP18" i="16"/>
  <c r="AN10" i="15"/>
  <c r="AP13" i="15"/>
  <c r="AP25" i="15"/>
  <c r="AN11" i="15"/>
  <c r="AP14" i="15"/>
  <c r="AN15" i="15"/>
  <c r="AP18" i="15"/>
  <c r="AP22" i="15"/>
  <c r="AP26" i="15"/>
  <c r="AP30" i="15"/>
  <c r="U68" i="15"/>
  <c r="U23" i="21" s="1"/>
  <c r="Q14" i="23" s="1"/>
  <c r="H36" i="23" s="1"/>
  <c r="AN14" i="15"/>
  <c r="AM19" i="15"/>
  <c r="AM31" i="15"/>
  <c r="K57" i="8"/>
  <c r="K59" i="8" s="1"/>
  <c r="C57" i="8"/>
  <c r="C59" i="8" s="1"/>
  <c r="AP17" i="15"/>
  <c r="AP29" i="15"/>
  <c r="AI34" i="15"/>
  <c r="M51" i="8" s="1"/>
  <c r="O8" i="22" s="1"/>
  <c r="AP19" i="15"/>
  <c r="AP31" i="15"/>
  <c r="O57" i="8"/>
  <c r="O59" i="8" s="1"/>
  <c r="G57" i="8"/>
  <c r="G59" i="8" s="1"/>
  <c r="P57" i="8"/>
  <c r="P59" i="8" s="1"/>
  <c r="B57" i="8"/>
  <c r="B59" i="8" s="1"/>
  <c r="N57" i="8"/>
  <c r="N59" i="8" s="1"/>
  <c r="J57" i="8"/>
  <c r="J59" i="8" s="1"/>
  <c r="F57" i="8"/>
  <c r="F59" i="8" s="1"/>
  <c r="AF34" i="14"/>
  <c r="J50" i="8" s="1"/>
  <c r="L7" i="22" s="1"/>
  <c r="S47" i="13"/>
  <c r="S50" i="13"/>
  <c r="S51" i="13"/>
  <c r="S55" i="13"/>
  <c r="S59" i="13"/>
  <c r="S63" i="13"/>
  <c r="S67" i="13"/>
  <c r="AM10" i="13"/>
  <c r="AQ11" i="13"/>
  <c r="AN13" i="13"/>
  <c r="R34" i="13"/>
  <c r="R7" i="21" s="1"/>
  <c r="L57" i="8"/>
  <c r="L59" i="8" s="1"/>
  <c r="H57" i="8"/>
  <c r="H59" i="8" s="1"/>
  <c r="D57" i="8"/>
  <c r="D59" i="8" s="1"/>
  <c r="AR12" i="1"/>
  <c r="AM10" i="1"/>
  <c r="AM26" i="1"/>
  <c r="AM14" i="1"/>
  <c r="AQ31" i="1"/>
  <c r="AQ27" i="1"/>
  <c r="AQ23" i="1"/>
  <c r="AQ19" i="1"/>
  <c r="AQ15" i="1"/>
  <c r="AQ11" i="1"/>
  <c r="R68" i="1"/>
  <c r="R20" i="21" s="1"/>
  <c r="AM32" i="1"/>
  <c r="AM28" i="1"/>
  <c r="AM24" i="1"/>
  <c r="AQ33" i="1"/>
  <c r="AQ29" i="1"/>
  <c r="AQ25" i="1"/>
  <c r="AQ21" i="1"/>
  <c r="AQ17" i="1"/>
  <c r="AQ13" i="1"/>
  <c r="U68" i="1"/>
  <c r="U20" i="21" s="1"/>
  <c r="Q11" i="23" s="1"/>
  <c r="H33" i="23" s="1"/>
  <c r="T68" i="1"/>
  <c r="T20" i="21" s="1"/>
  <c r="Y34" i="1"/>
  <c r="C48" i="8" s="1"/>
  <c r="AM30" i="1"/>
  <c r="AM22" i="1"/>
  <c r="AI34" i="1"/>
  <c r="M48" i="8" s="1"/>
  <c r="O5" i="22" s="1"/>
  <c r="AA34" i="1"/>
  <c r="E48" i="8" s="1"/>
  <c r="AM33" i="1"/>
  <c r="AM25" i="1"/>
  <c r="AB34" i="1"/>
  <c r="F48" i="8" s="1"/>
  <c r="H5" i="22" s="1"/>
  <c r="AH34" i="1"/>
  <c r="L48" i="8" s="1"/>
  <c r="N5" i="22" s="1"/>
  <c r="AL34" i="1"/>
  <c r="P48" i="8" s="1"/>
  <c r="R5" i="22" s="1"/>
  <c r="R34" i="1"/>
  <c r="R6" i="21" s="1"/>
  <c r="S26" i="1"/>
  <c r="S14" i="1"/>
  <c r="AM31" i="1"/>
  <c r="AM27" i="1"/>
  <c r="AM23" i="1"/>
  <c r="AM12" i="1"/>
  <c r="AM18" i="1"/>
  <c r="AD34" i="1"/>
  <c r="H48" i="8" s="1"/>
  <c r="J5" i="22" s="1"/>
  <c r="AE34" i="1"/>
  <c r="I48" i="8" s="1"/>
  <c r="K5" i="22" s="1"/>
  <c r="AM29" i="1"/>
  <c r="Z34" i="1"/>
  <c r="D48" i="8" s="1"/>
  <c r="F5" i="22" s="1"/>
  <c r="S28" i="1"/>
  <c r="AK34" i="1"/>
  <c r="O48" i="8" s="1"/>
  <c r="Q5" i="22" s="1"/>
  <c r="AJ34" i="1"/>
  <c r="N48" i="8" s="1"/>
  <c r="P5" i="22" s="1"/>
  <c r="AG34" i="1"/>
  <c r="K48" i="8" s="1"/>
  <c r="M5" i="22" s="1"/>
  <c r="AC34" i="1"/>
  <c r="G48" i="8" s="1"/>
  <c r="I5" i="22" s="1"/>
  <c r="AM19" i="1"/>
  <c r="AM15" i="1"/>
  <c r="AM11" i="1"/>
  <c r="U34" i="1"/>
  <c r="U6" i="21" s="1"/>
  <c r="Q3" i="23" s="1"/>
  <c r="F33" i="23" s="1"/>
  <c r="AM21" i="1"/>
  <c r="AM17" i="1"/>
  <c r="AM13" i="1"/>
  <c r="AP13" i="18"/>
  <c r="AP17" i="18"/>
  <c r="AP23" i="18"/>
  <c r="AN24" i="18"/>
  <c r="AP27" i="18"/>
  <c r="AP31" i="18"/>
  <c r="AP11" i="18"/>
  <c r="AP15" i="18"/>
  <c r="AR23" i="18"/>
  <c r="AP25" i="18"/>
  <c r="AP29" i="18"/>
  <c r="AP33" i="18"/>
  <c r="T68" i="18"/>
  <c r="T26" i="21" s="1"/>
  <c r="S58" i="18"/>
  <c r="AR16" i="18"/>
  <c r="AQ17" i="18"/>
  <c r="AN12" i="18"/>
  <c r="AQ14" i="18"/>
  <c r="AN16" i="18"/>
  <c r="AN19" i="18"/>
  <c r="AR20" i="18"/>
  <c r="AQ24" i="18"/>
  <c r="AN26" i="18"/>
  <c r="AR27" i="18"/>
  <c r="AQ28" i="18"/>
  <c r="AN30" i="18"/>
  <c r="AR31" i="18"/>
  <c r="S52" i="18"/>
  <c r="S56" i="18"/>
  <c r="S57" i="18"/>
  <c r="AF34" i="18"/>
  <c r="J54" i="8" s="1"/>
  <c r="L11" i="22" s="1"/>
  <c r="S54" i="18"/>
  <c r="AA34" i="18"/>
  <c r="E54" i="8" s="1"/>
  <c r="G11" i="22" s="1"/>
  <c r="AE34" i="18"/>
  <c r="I54" i="8" s="1"/>
  <c r="K11" i="22" s="1"/>
  <c r="AN17" i="18"/>
  <c r="S47" i="18"/>
  <c r="S65" i="18"/>
  <c r="AQ12" i="18"/>
  <c r="AN14" i="18"/>
  <c r="AR15" i="18"/>
  <c r="AQ16" i="18"/>
  <c r="AN18" i="18"/>
  <c r="AQ19" i="18"/>
  <c r="AN21" i="18"/>
  <c r="AR22" i="18"/>
  <c r="AR25" i="18"/>
  <c r="AQ26" i="18"/>
  <c r="AN28" i="18"/>
  <c r="AR29" i="18"/>
  <c r="AQ30" i="18"/>
  <c r="AN32" i="18"/>
  <c r="AR33" i="18"/>
  <c r="U68" i="18"/>
  <c r="U26" i="21" s="1"/>
  <c r="Q17" i="23" s="1"/>
  <c r="H39" i="23" s="1"/>
  <c r="S51" i="18"/>
  <c r="S55" i="18"/>
  <c r="S66" i="18"/>
  <c r="AQ11" i="18"/>
  <c r="AR17" i="18"/>
  <c r="AQ18" i="18"/>
  <c r="AQ32" i="18"/>
  <c r="AR11" i="18"/>
  <c r="AR14" i="18"/>
  <c r="AR18" i="18"/>
  <c r="AR21" i="18"/>
  <c r="AQ22" i="18"/>
  <c r="AR24" i="18"/>
  <c r="AQ25" i="18"/>
  <c r="AR28" i="18"/>
  <c r="AR32" i="18"/>
  <c r="AQ33" i="18"/>
  <c r="S46" i="18"/>
  <c r="S60" i="18"/>
  <c r="S64" i="18"/>
  <c r="AM12" i="18"/>
  <c r="AR12" i="18"/>
  <c r="AR19" i="18"/>
  <c r="AQ20" i="18"/>
  <c r="AR26" i="18"/>
  <c r="AQ27" i="18"/>
  <c r="AR30" i="18"/>
  <c r="S48" i="18"/>
  <c r="S62" i="18"/>
  <c r="AL34" i="18"/>
  <c r="P54" i="8" s="1"/>
  <c r="R11" i="22" s="1"/>
  <c r="AJ34" i="18"/>
  <c r="N54" i="8" s="1"/>
  <c r="P11" i="22" s="1"/>
  <c r="AI34" i="18"/>
  <c r="M54" i="8" s="1"/>
  <c r="O11" i="22" s="1"/>
  <c r="AH34" i="18"/>
  <c r="L54" i="8" s="1"/>
  <c r="N11" i="22" s="1"/>
  <c r="AN11" i="18"/>
  <c r="Z34" i="18"/>
  <c r="D54" i="8" s="1"/>
  <c r="F11" i="22" s="1"/>
  <c r="AD34" i="18"/>
  <c r="H54" i="8" s="1"/>
  <c r="J11" i="22" s="1"/>
  <c r="AB34" i="18"/>
  <c r="F54" i="8" s="1"/>
  <c r="H11" i="22" s="1"/>
  <c r="S12" i="18"/>
  <c r="V34" i="18"/>
  <c r="V12" i="21" s="1"/>
  <c r="R9" i="23" s="1"/>
  <c r="U34" i="18"/>
  <c r="U12" i="21" s="1"/>
  <c r="Q9" i="23" s="1"/>
  <c r="F39" i="23" s="1"/>
  <c r="AM13" i="18"/>
  <c r="S13" i="18"/>
  <c r="AM33" i="18"/>
  <c r="S33" i="18"/>
  <c r="Q34" i="18"/>
  <c r="Q12" i="21" s="1"/>
  <c r="T34" i="18"/>
  <c r="T12" i="21" s="1"/>
  <c r="AM18" i="18"/>
  <c r="S18" i="18"/>
  <c r="AM22" i="18"/>
  <c r="S22" i="18"/>
  <c r="AQ31" i="18"/>
  <c r="R34" i="18"/>
  <c r="R12" i="21" s="1"/>
  <c r="Y34" i="18"/>
  <c r="C54" i="8" s="1"/>
  <c r="E11" i="22" s="1"/>
  <c r="AC34" i="18"/>
  <c r="G54" i="8" s="1"/>
  <c r="I11" i="22" s="1"/>
  <c r="AG34" i="18"/>
  <c r="K54" i="8" s="1"/>
  <c r="M11" i="22" s="1"/>
  <c r="AK34" i="18"/>
  <c r="O54" i="8" s="1"/>
  <c r="Q11" i="22" s="1"/>
  <c r="AM15" i="18"/>
  <c r="S15" i="18"/>
  <c r="AM19" i="18"/>
  <c r="S19" i="18"/>
  <c r="AM23" i="18"/>
  <c r="S23" i="18"/>
  <c r="AM27" i="18"/>
  <c r="S27" i="18"/>
  <c r="AM31" i="18"/>
  <c r="S31" i="18"/>
  <c r="R68" i="18"/>
  <c r="R26" i="21" s="1"/>
  <c r="V68" i="18"/>
  <c r="V26" i="21" s="1"/>
  <c r="R17" i="23" s="1"/>
  <c r="AR13" i="18"/>
  <c r="AM17" i="18"/>
  <c r="S17" i="18"/>
  <c r="AM21" i="18"/>
  <c r="S21" i="18"/>
  <c r="AM25" i="18"/>
  <c r="S25" i="18"/>
  <c r="AM29" i="18"/>
  <c r="S29" i="18"/>
  <c r="Q68" i="18"/>
  <c r="Q26" i="21" s="1"/>
  <c r="AM14" i="18"/>
  <c r="S14" i="18"/>
  <c r="AQ15" i="18"/>
  <c r="AQ23" i="18"/>
  <c r="AM26" i="18"/>
  <c r="S26" i="18"/>
  <c r="AM30" i="18"/>
  <c r="S30" i="18"/>
  <c r="AQ13" i="18"/>
  <c r="AM16" i="18"/>
  <c r="S16" i="18"/>
  <c r="AM20" i="18"/>
  <c r="S20" i="18"/>
  <c r="AQ21" i="18"/>
  <c r="AM24" i="18"/>
  <c r="S24" i="18"/>
  <c r="AM28" i="18"/>
  <c r="S28" i="18"/>
  <c r="AQ29" i="18"/>
  <c r="AM32" i="18"/>
  <c r="S32" i="18"/>
  <c r="S44" i="18"/>
  <c r="AO10" i="18" s="1"/>
  <c r="S45" i="18"/>
  <c r="S53" i="18"/>
  <c r="S61" i="18"/>
  <c r="AK34" i="17"/>
  <c r="O53" i="8" s="1"/>
  <c r="Q10" i="22" s="1"/>
  <c r="AP11" i="17"/>
  <c r="AP15" i="17"/>
  <c r="AP19" i="17"/>
  <c r="AP23" i="17"/>
  <c r="AP27" i="17"/>
  <c r="AP31" i="17"/>
  <c r="AP13" i="17"/>
  <c r="AP17" i="17"/>
  <c r="AP21" i="17"/>
  <c r="AP25" i="17"/>
  <c r="AP29" i="17"/>
  <c r="AP33" i="17"/>
  <c r="AI34" i="17"/>
  <c r="M53" i="8" s="1"/>
  <c r="O10" i="22" s="1"/>
  <c r="U68" i="17"/>
  <c r="U25" i="21" s="1"/>
  <c r="Q16" i="23" s="1"/>
  <c r="H38" i="23" s="1"/>
  <c r="AN12" i="17"/>
  <c r="AN20" i="17"/>
  <c r="AN24" i="17"/>
  <c r="AN28" i="17"/>
  <c r="AN32" i="17"/>
  <c r="AN10" i="17"/>
  <c r="AN14" i="17"/>
  <c r="AN18" i="17"/>
  <c r="AN22" i="17"/>
  <c r="AN26" i="17"/>
  <c r="AN30" i="17"/>
  <c r="S66" i="17"/>
  <c r="AM11" i="17"/>
  <c r="AR11" i="17"/>
  <c r="AQ12" i="17"/>
  <c r="AM15" i="17"/>
  <c r="AR15" i="17"/>
  <c r="AQ16" i="17"/>
  <c r="AM19" i="17"/>
  <c r="AQ20" i="17"/>
  <c r="AM23" i="17"/>
  <c r="AQ24" i="17"/>
  <c r="AM27" i="17"/>
  <c r="AQ28" i="17"/>
  <c r="AM31" i="17"/>
  <c r="AQ32" i="17"/>
  <c r="X34" i="17"/>
  <c r="B53" i="8" s="1"/>
  <c r="D10" i="22" s="1"/>
  <c r="Q68" i="17"/>
  <c r="Q25" i="21" s="1"/>
  <c r="Y34" i="17"/>
  <c r="C53" i="8" s="1"/>
  <c r="E10" i="22" s="1"/>
  <c r="AM13" i="17"/>
  <c r="AR13" i="17"/>
  <c r="AQ14" i="17"/>
  <c r="AM17" i="17"/>
  <c r="AQ18" i="17"/>
  <c r="AM21" i="17"/>
  <c r="AQ22" i="17"/>
  <c r="AM25" i="17"/>
  <c r="AQ26" i="17"/>
  <c r="AM29" i="17"/>
  <c r="AQ30" i="17"/>
  <c r="AM33" i="17"/>
  <c r="T34" i="17"/>
  <c r="T11" i="21" s="1"/>
  <c r="AJ34" i="17"/>
  <c r="N53" i="8" s="1"/>
  <c r="P10" i="22" s="1"/>
  <c r="AG34" i="17"/>
  <c r="K53" i="8" s="1"/>
  <c r="M10" i="22" s="1"/>
  <c r="S16" i="17"/>
  <c r="AF34" i="17"/>
  <c r="J53" i="8" s="1"/>
  <c r="L10" i="22" s="1"/>
  <c r="AB34" i="17"/>
  <c r="F53" i="8" s="1"/>
  <c r="H10" i="22" s="1"/>
  <c r="U34" i="17"/>
  <c r="U11" i="21" s="1"/>
  <c r="Q8" i="23" s="1"/>
  <c r="F38" i="23" s="1"/>
  <c r="AC34" i="17"/>
  <c r="G53" i="8" s="1"/>
  <c r="I10" i="22" s="1"/>
  <c r="AA34" i="17"/>
  <c r="E53" i="8" s="1"/>
  <c r="G10" i="22" s="1"/>
  <c r="AE34" i="17"/>
  <c r="I53" i="8" s="1"/>
  <c r="K10" i="22" s="1"/>
  <c r="AQ10" i="17"/>
  <c r="Q34" i="17"/>
  <c r="Q11" i="21" s="1"/>
  <c r="S11" i="17"/>
  <c r="S12" i="17"/>
  <c r="S13" i="17"/>
  <c r="S14" i="17"/>
  <c r="S15" i="17"/>
  <c r="V34" i="17"/>
  <c r="V11" i="21" s="1"/>
  <c r="R8" i="23" s="1"/>
  <c r="Z34" i="17"/>
  <c r="D53" i="8" s="1"/>
  <c r="F10" i="22" s="1"/>
  <c r="AD34" i="17"/>
  <c r="H53" i="8" s="1"/>
  <c r="J10" i="22" s="1"/>
  <c r="AH34" i="17"/>
  <c r="L53" i="8" s="1"/>
  <c r="N10" i="22" s="1"/>
  <c r="AL34" i="17"/>
  <c r="P53" i="8" s="1"/>
  <c r="R10" i="22" s="1"/>
  <c r="S10" i="17"/>
  <c r="R34" i="17"/>
  <c r="R11" i="21" s="1"/>
  <c r="AR10" i="17"/>
  <c r="AR17" i="17"/>
  <c r="AR19" i="17"/>
  <c r="AR21" i="17"/>
  <c r="AR23" i="17"/>
  <c r="AR25" i="17"/>
  <c r="AR27" i="17"/>
  <c r="AR29" i="17"/>
  <c r="AR31" i="17"/>
  <c r="AR33" i="17"/>
  <c r="T68" i="17"/>
  <c r="T25" i="21" s="1"/>
  <c r="S17" i="17"/>
  <c r="AN17" i="17"/>
  <c r="AP10" i="17"/>
  <c r="AN15" i="17"/>
  <c r="AN16" i="17"/>
  <c r="V68" i="17"/>
  <c r="V25" i="21" s="1"/>
  <c r="R16" i="23" s="1"/>
  <c r="S44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AP10" i="16"/>
  <c r="AN11" i="16"/>
  <c r="AM12" i="16"/>
  <c r="AR15" i="16"/>
  <c r="AP17" i="16"/>
  <c r="AN18" i="16"/>
  <c r="AP23" i="16"/>
  <c r="AN24" i="16"/>
  <c r="AP27" i="16"/>
  <c r="AN28" i="16"/>
  <c r="AP31" i="16"/>
  <c r="AL34" i="16"/>
  <c r="P52" i="8" s="1"/>
  <c r="R9" i="22" s="1"/>
  <c r="AP15" i="16"/>
  <c r="AP25" i="16"/>
  <c r="AP29" i="16"/>
  <c r="AP33" i="16"/>
  <c r="S62" i="16"/>
  <c r="AN12" i="16"/>
  <c r="AN15" i="16"/>
  <c r="AR16" i="16"/>
  <c r="AQ17" i="16"/>
  <c r="AN13" i="16"/>
  <c r="AN19" i="16"/>
  <c r="S49" i="16"/>
  <c r="S52" i="16"/>
  <c r="S53" i="16"/>
  <c r="S57" i="16"/>
  <c r="AN21" i="16"/>
  <c r="AR29" i="16"/>
  <c r="AQ30" i="16"/>
  <c r="AN32" i="16"/>
  <c r="S47" i="16"/>
  <c r="S51" i="16"/>
  <c r="S55" i="16"/>
  <c r="S58" i="16"/>
  <c r="AN16" i="16"/>
  <c r="AQ28" i="16"/>
  <c r="AR31" i="16"/>
  <c r="AQ12" i="16"/>
  <c r="AN20" i="16"/>
  <c r="AR21" i="16"/>
  <c r="AQ22" i="16"/>
  <c r="AR24" i="16"/>
  <c r="AQ25" i="16"/>
  <c r="AN27" i="16"/>
  <c r="S50" i="16"/>
  <c r="S54" i="16"/>
  <c r="S61" i="16"/>
  <c r="AR13" i="16"/>
  <c r="AQ14" i="16"/>
  <c r="AQ20" i="16"/>
  <c r="AN22" i="16"/>
  <c r="AN25" i="16"/>
  <c r="S45" i="16"/>
  <c r="S59" i="16"/>
  <c r="S66" i="16"/>
  <c r="AR19" i="16"/>
  <c r="AM10" i="16"/>
  <c r="AR10" i="16"/>
  <c r="AQ11" i="16"/>
  <c r="AR14" i="16"/>
  <c r="AR17" i="16"/>
  <c r="AQ18" i="16"/>
  <c r="AR20" i="16"/>
  <c r="AQ21" i="16"/>
  <c r="AR23" i="16"/>
  <c r="AQ24" i="16"/>
  <c r="AR27" i="16"/>
  <c r="AQ32" i="16"/>
  <c r="S48" i="16"/>
  <c r="S64" i="16"/>
  <c r="AR12" i="16"/>
  <c r="AQ13" i="16"/>
  <c r="AQ16" i="16"/>
  <c r="AR22" i="16"/>
  <c r="AR25" i="16"/>
  <c r="AQ26" i="16"/>
  <c r="AR33" i="16"/>
  <c r="S56" i="16"/>
  <c r="AR30" i="16"/>
  <c r="AK34" i="16"/>
  <c r="O52" i="8" s="1"/>
  <c r="Q9" i="22" s="1"/>
  <c r="AH34" i="16"/>
  <c r="L52" i="8" s="1"/>
  <c r="N9" i="22" s="1"/>
  <c r="AI34" i="16"/>
  <c r="M52" i="8" s="1"/>
  <c r="O9" i="22" s="1"/>
  <c r="AG34" i="16"/>
  <c r="K52" i="8" s="1"/>
  <c r="M9" i="22" s="1"/>
  <c r="Z34" i="16"/>
  <c r="D52" i="8" s="1"/>
  <c r="F9" i="22" s="1"/>
  <c r="AD34" i="16"/>
  <c r="H52" i="8" s="1"/>
  <c r="J9" i="22" s="1"/>
  <c r="AN26" i="16"/>
  <c r="AA34" i="16"/>
  <c r="E52" i="8" s="1"/>
  <c r="G9" i="22" s="1"/>
  <c r="AE34" i="16"/>
  <c r="I52" i="8" s="1"/>
  <c r="K9" i="22" s="1"/>
  <c r="R34" i="16"/>
  <c r="R10" i="21" s="1"/>
  <c r="AC34" i="16"/>
  <c r="G52" i="8" s="1"/>
  <c r="I9" i="22" s="1"/>
  <c r="U34" i="16"/>
  <c r="U10" i="21" s="1"/>
  <c r="Q7" i="23" s="1"/>
  <c r="F37" i="23" s="1"/>
  <c r="Y34" i="16"/>
  <c r="C52" i="8" s="1"/>
  <c r="E9" i="22" s="1"/>
  <c r="S12" i="16"/>
  <c r="S11" i="16"/>
  <c r="AR26" i="16"/>
  <c r="AN14" i="16"/>
  <c r="AM15" i="16"/>
  <c r="S15" i="16"/>
  <c r="AM19" i="16"/>
  <c r="S19" i="16"/>
  <c r="AM23" i="16"/>
  <c r="S23" i="16"/>
  <c r="R68" i="16"/>
  <c r="R24" i="21" s="1"/>
  <c r="AM16" i="16"/>
  <c r="S16" i="16"/>
  <c r="AM20" i="16"/>
  <c r="S20" i="16"/>
  <c r="AM24" i="16"/>
  <c r="S24" i="16"/>
  <c r="AQ27" i="16"/>
  <c r="AQ31" i="16"/>
  <c r="Q34" i="16"/>
  <c r="Q10" i="21" s="1"/>
  <c r="S44" i="16"/>
  <c r="S60" i="16"/>
  <c r="S10" i="16"/>
  <c r="AQ10" i="16"/>
  <c r="AM13" i="16"/>
  <c r="S13" i="16"/>
  <c r="AM17" i="16"/>
  <c r="S17" i="16"/>
  <c r="AM21" i="16"/>
  <c r="S21" i="16"/>
  <c r="AM25" i="16"/>
  <c r="S25" i="16"/>
  <c r="AM26" i="16"/>
  <c r="S26" i="16"/>
  <c r="AM27" i="16"/>
  <c r="S27" i="16"/>
  <c r="AM28" i="16"/>
  <c r="S28" i="16"/>
  <c r="AM29" i="16"/>
  <c r="S29" i="16"/>
  <c r="AM30" i="16"/>
  <c r="S30" i="16"/>
  <c r="AM31" i="16"/>
  <c r="S31" i="16"/>
  <c r="AM32" i="16"/>
  <c r="S32" i="16"/>
  <c r="AM33" i="16"/>
  <c r="S33" i="16"/>
  <c r="T34" i="16"/>
  <c r="T10" i="21" s="1"/>
  <c r="X34" i="16"/>
  <c r="B52" i="8" s="1"/>
  <c r="D9" i="22" s="1"/>
  <c r="AB34" i="16"/>
  <c r="F52" i="8" s="1"/>
  <c r="H9" i="22" s="1"/>
  <c r="AF34" i="16"/>
  <c r="J52" i="8" s="1"/>
  <c r="L9" i="22" s="1"/>
  <c r="AJ34" i="16"/>
  <c r="N52" i="8" s="1"/>
  <c r="P9" i="22" s="1"/>
  <c r="AM14" i="16"/>
  <c r="S14" i="16"/>
  <c r="AQ15" i="16"/>
  <c r="AM18" i="16"/>
  <c r="S18" i="16"/>
  <c r="AQ19" i="16"/>
  <c r="AM22" i="16"/>
  <c r="S22" i="16"/>
  <c r="AQ23" i="16"/>
  <c r="AN30" i="16"/>
  <c r="Q68" i="16"/>
  <c r="Q24" i="21" s="1"/>
  <c r="U68" i="16"/>
  <c r="U24" i="21" s="1"/>
  <c r="Q15" i="23" s="1"/>
  <c r="H37" i="23" s="1"/>
  <c r="S44" i="15"/>
  <c r="S48" i="15"/>
  <c r="S52" i="15"/>
  <c r="S56" i="15"/>
  <c r="S60" i="15"/>
  <c r="S64" i="15"/>
  <c r="AL34" i="15"/>
  <c r="P51" i="8" s="1"/>
  <c r="R8" i="22" s="1"/>
  <c r="AP21" i="15"/>
  <c r="AP33" i="15"/>
  <c r="AM33" i="15"/>
  <c r="S51" i="15"/>
  <c r="S55" i="15"/>
  <c r="S59" i="15"/>
  <c r="S63" i="15"/>
  <c r="S67" i="15"/>
  <c r="AM13" i="15"/>
  <c r="AM17" i="15"/>
  <c r="AM22" i="15"/>
  <c r="AM25" i="15"/>
  <c r="AM29" i="15"/>
  <c r="AM21" i="15"/>
  <c r="S47" i="15"/>
  <c r="AM10" i="15"/>
  <c r="AM14" i="15"/>
  <c r="AM26" i="15"/>
  <c r="AQ10" i="15"/>
  <c r="AN12" i="15"/>
  <c r="AR13" i="15"/>
  <c r="AQ14" i="15"/>
  <c r="AN16" i="15"/>
  <c r="AR22" i="15"/>
  <c r="AQ23" i="15"/>
  <c r="AQ26" i="15"/>
  <c r="AQ22" i="15"/>
  <c r="AQ11" i="15"/>
  <c r="AN13" i="15"/>
  <c r="AR14" i="15"/>
  <c r="AQ15" i="15"/>
  <c r="AQ18" i="15"/>
  <c r="AR26" i="15"/>
  <c r="AQ27" i="15"/>
  <c r="AQ30" i="15"/>
  <c r="S46" i="15"/>
  <c r="S50" i="15"/>
  <c r="S54" i="15"/>
  <c r="S58" i="15"/>
  <c r="S62" i="15"/>
  <c r="S66" i="15"/>
  <c r="S45" i="15"/>
  <c r="S49" i="15"/>
  <c r="S53" i="15"/>
  <c r="S57" i="15"/>
  <c r="S65" i="15"/>
  <c r="AM11" i="15"/>
  <c r="AR11" i="15"/>
  <c r="AQ12" i="15"/>
  <c r="AM15" i="15"/>
  <c r="AR15" i="15"/>
  <c r="AQ16" i="15"/>
  <c r="AM18" i="15"/>
  <c r="AR18" i="15"/>
  <c r="AM20" i="15"/>
  <c r="AR20" i="15"/>
  <c r="AQ21" i="15"/>
  <c r="AQ24" i="15"/>
  <c r="AM27" i="15"/>
  <c r="AQ28" i="15"/>
  <c r="AM30" i="15"/>
  <c r="AR30" i="15"/>
  <c r="AM32" i="15"/>
  <c r="AR32" i="15"/>
  <c r="AQ33" i="15"/>
  <c r="AQ20" i="15"/>
  <c r="AM23" i="15"/>
  <c r="AQ32" i="15"/>
  <c r="S61" i="15"/>
  <c r="AM12" i="15"/>
  <c r="AR12" i="15"/>
  <c r="AQ13" i="15"/>
  <c r="AM16" i="15"/>
  <c r="AR16" i="15"/>
  <c r="AQ17" i="15"/>
  <c r="AM24" i="15"/>
  <c r="AR24" i="15"/>
  <c r="AQ25" i="15"/>
  <c r="AM28" i="15"/>
  <c r="AR28" i="15"/>
  <c r="AJ34" i="15"/>
  <c r="N51" i="8" s="1"/>
  <c r="P8" i="22" s="1"/>
  <c r="AK34" i="15"/>
  <c r="O51" i="8" s="1"/>
  <c r="Q8" i="22" s="1"/>
  <c r="AP20" i="15"/>
  <c r="AP24" i="15"/>
  <c r="AP28" i="15"/>
  <c r="AP32" i="15"/>
  <c r="AG34" i="15"/>
  <c r="K51" i="8" s="1"/>
  <c r="M8" i="22" s="1"/>
  <c r="AH34" i="15"/>
  <c r="L51" i="8" s="1"/>
  <c r="N8" i="22" s="1"/>
  <c r="AF34" i="15"/>
  <c r="J51" i="8" s="1"/>
  <c r="L8" i="22" s="1"/>
  <c r="AC34" i="15"/>
  <c r="G51" i="8" s="1"/>
  <c r="I8" i="22" s="1"/>
  <c r="Z34" i="15"/>
  <c r="D51" i="8" s="1"/>
  <c r="F8" i="22" s="1"/>
  <c r="AD34" i="15"/>
  <c r="H51" i="8" s="1"/>
  <c r="J8" i="22" s="1"/>
  <c r="AB34" i="15"/>
  <c r="F51" i="8" s="1"/>
  <c r="H8" i="22" s="1"/>
  <c r="AA34" i="15"/>
  <c r="E51" i="8" s="1"/>
  <c r="G8" i="22" s="1"/>
  <c r="AE34" i="15"/>
  <c r="I51" i="8" s="1"/>
  <c r="K8" i="22" s="1"/>
  <c r="V34" i="15"/>
  <c r="V9" i="21" s="1"/>
  <c r="R6" i="23" s="1"/>
  <c r="U34" i="15"/>
  <c r="U9" i="21" s="1"/>
  <c r="Q6" i="23" s="1"/>
  <c r="F36" i="23" s="1"/>
  <c r="X34" i="15"/>
  <c r="B51" i="8" s="1"/>
  <c r="D8" i="22" s="1"/>
  <c r="Y34" i="15"/>
  <c r="C51" i="8" s="1"/>
  <c r="E8" i="22" s="1"/>
  <c r="Q34" i="15"/>
  <c r="Q9" i="21" s="1"/>
  <c r="AQ29" i="15"/>
  <c r="S11" i="15"/>
  <c r="S12" i="15"/>
  <c r="S13" i="15"/>
  <c r="S14" i="15"/>
  <c r="S15" i="15"/>
  <c r="S16" i="15"/>
  <c r="T34" i="15"/>
  <c r="T9" i="21" s="1"/>
  <c r="S17" i="15"/>
  <c r="AN17" i="15"/>
  <c r="S18" i="15"/>
  <c r="AN18" i="15"/>
  <c r="S19" i="15"/>
  <c r="AN19" i="15"/>
  <c r="S20" i="15"/>
  <c r="AN20" i="15"/>
  <c r="S21" i="15"/>
  <c r="AN21" i="15"/>
  <c r="S22" i="15"/>
  <c r="AN22" i="15"/>
  <c r="S23" i="15"/>
  <c r="AN23" i="15"/>
  <c r="S24" i="15"/>
  <c r="AN24" i="15"/>
  <c r="S25" i="15"/>
  <c r="AN25" i="15"/>
  <c r="S26" i="15"/>
  <c r="AN26" i="15"/>
  <c r="S27" i="15"/>
  <c r="AN27" i="15"/>
  <c r="S28" i="15"/>
  <c r="AN28" i="15"/>
  <c r="S29" i="15"/>
  <c r="AN29" i="15"/>
  <c r="S30" i="15"/>
  <c r="AN30" i="15"/>
  <c r="S31" i="15"/>
  <c r="AN31" i="15"/>
  <c r="S32" i="15"/>
  <c r="AN32" i="15"/>
  <c r="S33" i="15"/>
  <c r="AN33" i="15"/>
  <c r="AP10" i="15"/>
  <c r="T68" i="15"/>
  <c r="T23" i="21" s="1"/>
  <c r="S10" i="15"/>
  <c r="R34" i="15"/>
  <c r="R9" i="21" s="1"/>
  <c r="AR10" i="15"/>
  <c r="AR17" i="15"/>
  <c r="AR19" i="15"/>
  <c r="AR21" i="15"/>
  <c r="AR23" i="15"/>
  <c r="AR25" i="15"/>
  <c r="AR27" i="15"/>
  <c r="AR29" i="15"/>
  <c r="AR31" i="15"/>
  <c r="AR33" i="15"/>
  <c r="AP19" i="14"/>
  <c r="AR21" i="14"/>
  <c r="AN24" i="14"/>
  <c r="AQ26" i="14"/>
  <c r="AP27" i="14"/>
  <c r="AN28" i="14"/>
  <c r="AR33" i="14"/>
  <c r="AQ19" i="14"/>
  <c r="AP20" i="14"/>
  <c r="AN21" i="14"/>
  <c r="AR22" i="14"/>
  <c r="AP24" i="14"/>
  <c r="AN25" i="14"/>
  <c r="AP28" i="14"/>
  <c r="AN29" i="14"/>
  <c r="AP32" i="14"/>
  <c r="AN33" i="14"/>
  <c r="S52" i="14"/>
  <c r="S56" i="14"/>
  <c r="S57" i="14"/>
  <c r="S65" i="14"/>
  <c r="AL34" i="14"/>
  <c r="P50" i="8" s="1"/>
  <c r="R7" i="22" s="1"/>
  <c r="AN20" i="14"/>
  <c r="AQ22" i="14"/>
  <c r="AP23" i="14"/>
  <c r="AR25" i="14"/>
  <c r="AR29" i="14"/>
  <c r="AQ30" i="14"/>
  <c r="AP31" i="14"/>
  <c r="AN32" i="14"/>
  <c r="T68" i="14"/>
  <c r="T22" i="21" s="1"/>
  <c r="S50" i="14"/>
  <c r="AN18" i="14"/>
  <c r="S49" i="14"/>
  <c r="S47" i="14"/>
  <c r="S58" i="14"/>
  <c r="S66" i="14"/>
  <c r="AQ32" i="14"/>
  <c r="AR17" i="14"/>
  <c r="AQ18" i="14"/>
  <c r="AR24" i="14"/>
  <c r="AQ25" i="14"/>
  <c r="AR28" i="14"/>
  <c r="S46" i="14"/>
  <c r="S60" i="14"/>
  <c r="S64" i="14"/>
  <c r="AQ16" i="14"/>
  <c r="AR26" i="14"/>
  <c r="AQ27" i="14"/>
  <c r="AR30" i="14"/>
  <c r="S48" i="14"/>
  <c r="S62" i="14"/>
  <c r="S12" i="14"/>
  <c r="AJ34" i="14"/>
  <c r="N50" i="8" s="1"/>
  <c r="P7" i="22" s="1"/>
  <c r="AH34" i="14"/>
  <c r="L50" i="8" s="1"/>
  <c r="N7" i="22" s="1"/>
  <c r="R34" i="14"/>
  <c r="R8" i="21" s="1"/>
  <c r="S10" i="14"/>
  <c r="AI34" i="14"/>
  <c r="M50" i="8" s="1"/>
  <c r="O7" i="22" s="1"/>
  <c r="AN11" i="14"/>
  <c r="AA34" i="14"/>
  <c r="E50" i="8" s="1"/>
  <c r="G7" i="22" s="1"/>
  <c r="AE34" i="14"/>
  <c r="I50" i="8" s="1"/>
  <c r="K7" i="22" s="1"/>
  <c r="Z34" i="14"/>
  <c r="D50" i="8" s="1"/>
  <c r="F7" i="22" s="1"/>
  <c r="AD34" i="14"/>
  <c r="H50" i="8" s="1"/>
  <c r="J7" i="22" s="1"/>
  <c r="AB34" i="14"/>
  <c r="F50" i="8" s="1"/>
  <c r="H7" i="22" s="1"/>
  <c r="X34" i="14"/>
  <c r="B50" i="8" s="1"/>
  <c r="D7" i="22" s="1"/>
  <c r="V34" i="14"/>
  <c r="V8" i="21" s="1"/>
  <c r="R5" i="23" s="1"/>
  <c r="AQ10" i="14"/>
  <c r="S11" i="14"/>
  <c r="AN13" i="14"/>
  <c r="AM14" i="14"/>
  <c r="S14" i="14"/>
  <c r="AQ15" i="14"/>
  <c r="AM18" i="14"/>
  <c r="S18" i="14"/>
  <c r="AM22" i="14"/>
  <c r="S22" i="14"/>
  <c r="AQ23" i="14"/>
  <c r="Y34" i="14"/>
  <c r="C50" i="8" s="1"/>
  <c r="E7" i="22" s="1"/>
  <c r="AC34" i="14"/>
  <c r="G50" i="8" s="1"/>
  <c r="I7" i="22" s="1"/>
  <c r="AG34" i="14"/>
  <c r="K50" i="8" s="1"/>
  <c r="M7" i="22" s="1"/>
  <c r="AK34" i="14"/>
  <c r="O50" i="8" s="1"/>
  <c r="Q7" i="22" s="1"/>
  <c r="AM15" i="14"/>
  <c r="S15" i="14"/>
  <c r="AM19" i="14"/>
  <c r="S19" i="14"/>
  <c r="AM23" i="14"/>
  <c r="S23" i="14"/>
  <c r="AM27" i="14"/>
  <c r="S27" i="14"/>
  <c r="AM31" i="14"/>
  <c r="S31" i="14"/>
  <c r="R68" i="14"/>
  <c r="R22" i="21" s="1"/>
  <c r="V68" i="14"/>
  <c r="V22" i="21" s="1"/>
  <c r="R13" i="23" s="1"/>
  <c r="AM13" i="14"/>
  <c r="S13" i="14"/>
  <c r="AR13" i="14"/>
  <c r="AM17" i="14"/>
  <c r="S17" i="14"/>
  <c r="AM21" i="14"/>
  <c r="S21" i="14"/>
  <c r="AM25" i="14"/>
  <c r="S25" i="14"/>
  <c r="AM29" i="14"/>
  <c r="S29" i="14"/>
  <c r="AM33" i="14"/>
  <c r="S33" i="14"/>
  <c r="T34" i="14"/>
  <c r="T8" i="21" s="1"/>
  <c r="AM26" i="14"/>
  <c r="S26" i="14"/>
  <c r="AM30" i="14"/>
  <c r="S30" i="14"/>
  <c r="AQ31" i="14"/>
  <c r="AP10" i="14"/>
  <c r="AQ13" i="14"/>
  <c r="AM16" i="14"/>
  <c r="S16" i="14"/>
  <c r="AM20" i="14"/>
  <c r="S20" i="14"/>
  <c r="AQ21" i="14"/>
  <c r="AM24" i="14"/>
  <c r="S24" i="14"/>
  <c r="AM28" i="14"/>
  <c r="S28" i="14"/>
  <c r="AQ29" i="14"/>
  <c r="AM32" i="14"/>
  <c r="S32" i="14"/>
  <c r="S44" i="14"/>
  <c r="S45" i="14"/>
  <c r="S53" i="14"/>
  <c r="S61" i="14"/>
  <c r="AA34" i="13"/>
  <c r="E49" i="8" s="1"/>
  <c r="G6" i="22" s="1"/>
  <c r="AE34" i="13"/>
  <c r="I49" i="8" s="1"/>
  <c r="K6" i="22" s="1"/>
  <c r="AM12" i="13"/>
  <c r="AI34" i="13"/>
  <c r="M49" i="8" s="1"/>
  <c r="O6" i="22" s="1"/>
  <c r="AN28" i="13"/>
  <c r="AR29" i="13"/>
  <c r="AN11" i="13"/>
  <c r="AQ23" i="13"/>
  <c r="AN25" i="13"/>
  <c r="AN29" i="13"/>
  <c r="AR30" i="13"/>
  <c r="AQ31" i="13"/>
  <c r="AN33" i="13"/>
  <c r="R68" i="13"/>
  <c r="R21" i="21" s="1"/>
  <c r="S45" i="13"/>
  <c r="S49" i="13"/>
  <c r="S53" i="13"/>
  <c r="S57" i="13"/>
  <c r="S61" i="13"/>
  <c r="S65" i="13"/>
  <c r="AN12" i="13"/>
  <c r="S46" i="13"/>
  <c r="S54" i="13"/>
  <c r="S62" i="13"/>
  <c r="AR14" i="13"/>
  <c r="S52" i="13"/>
  <c r="AQ12" i="13"/>
  <c r="AQ15" i="13"/>
  <c r="AR18" i="13"/>
  <c r="AR22" i="13"/>
  <c r="AP12" i="13"/>
  <c r="AP15" i="13"/>
  <c r="AR17" i="13"/>
  <c r="AQ18" i="13"/>
  <c r="AP19" i="13"/>
  <c r="AR21" i="13"/>
  <c r="AQ22" i="13"/>
  <c r="AR28" i="13"/>
  <c r="AQ29" i="13"/>
  <c r="AR16" i="13"/>
  <c r="AP18" i="13"/>
  <c r="AQ28" i="13"/>
  <c r="AP29" i="13"/>
  <c r="AR12" i="13"/>
  <c r="AQ13" i="13"/>
  <c r="AR15" i="13"/>
  <c r="AQ16" i="13"/>
  <c r="AR19" i="13"/>
  <c r="AP11" i="13"/>
  <c r="AQ14" i="13"/>
  <c r="AR20" i="13"/>
  <c r="AQ21" i="13"/>
  <c r="AR23" i="13"/>
  <c r="AQ24" i="13"/>
  <c r="AP25" i="13"/>
  <c r="AR27" i="13"/>
  <c r="AR31" i="13"/>
  <c r="AQ32" i="13"/>
  <c r="AP33" i="13"/>
  <c r="AM11" i="13"/>
  <c r="AR11" i="13"/>
  <c r="AP20" i="13"/>
  <c r="AP23" i="13"/>
  <c r="AR25" i="13"/>
  <c r="AQ26" i="13"/>
  <c r="AP27" i="13"/>
  <c r="AQ30" i="13"/>
  <c r="AP31" i="13"/>
  <c r="AR33" i="13"/>
  <c r="V68" i="13"/>
  <c r="V21" i="21" s="1"/>
  <c r="R12" i="23" s="1"/>
  <c r="AP17" i="13"/>
  <c r="AL34" i="13"/>
  <c r="P49" i="8" s="1"/>
  <c r="R6" i="22" s="1"/>
  <c r="AH34" i="13"/>
  <c r="L49" i="8" s="1"/>
  <c r="N6" i="22" s="1"/>
  <c r="AN24" i="13"/>
  <c r="Z34" i="13"/>
  <c r="D49" i="8" s="1"/>
  <c r="F6" i="22" s="1"/>
  <c r="AN26" i="13"/>
  <c r="AN32" i="13"/>
  <c r="AD34" i="13"/>
  <c r="H49" i="8" s="1"/>
  <c r="J6" i="22" s="1"/>
  <c r="U34" i="13"/>
  <c r="U7" i="21" s="1"/>
  <c r="Q4" i="23" s="1"/>
  <c r="F34" i="23" s="1"/>
  <c r="S12" i="13"/>
  <c r="V34" i="13"/>
  <c r="V7" i="21" s="1"/>
  <c r="R4" i="23" s="1"/>
  <c r="S10" i="13"/>
  <c r="S11" i="13"/>
  <c r="AQ10" i="13"/>
  <c r="AR26" i="13"/>
  <c r="AM13" i="13"/>
  <c r="S13" i="13"/>
  <c r="AR13" i="13"/>
  <c r="AM17" i="13"/>
  <c r="S17" i="13"/>
  <c r="AM21" i="13"/>
  <c r="S21" i="13"/>
  <c r="T34" i="13"/>
  <c r="T7" i="21" s="1"/>
  <c r="AB34" i="13"/>
  <c r="F49" i="8" s="1"/>
  <c r="H6" i="22" s="1"/>
  <c r="AF34" i="13"/>
  <c r="J49" i="8" s="1"/>
  <c r="L6" i="22" s="1"/>
  <c r="AN10" i="13"/>
  <c r="AM18" i="13"/>
  <c r="S18" i="13"/>
  <c r="AM22" i="13"/>
  <c r="S22" i="13"/>
  <c r="Q34" i="13"/>
  <c r="Q7" i="21" s="1"/>
  <c r="S44" i="13"/>
  <c r="S60" i="13"/>
  <c r="Y34" i="13"/>
  <c r="C49" i="8" s="1"/>
  <c r="E6" i="22" s="1"/>
  <c r="AC34" i="13"/>
  <c r="G49" i="8" s="1"/>
  <c r="I6" i="22" s="1"/>
  <c r="AG34" i="13"/>
  <c r="K49" i="8" s="1"/>
  <c r="M6" i="22" s="1"/>
  <c r="AK34" i="13"/>
  <c r="O49" i="8" s="1"/>
  <c r="Q6" i="22" s="1"/>
  <c r="AM15" i="13"/>
  <c r="S15" i="13"/>
  <c r="AM19" i="13"/>
  <c r="S19" i="13"/>
  <c r="AM23" i="13"/>
  <c r="S23" i="13"/>
  <c r="AM24" i="13"/>
  <c r="S24" i="13"/>
  <c r="AM25" i="13"/>
  <c r="S25" i="13"/>
  <c r="AM26" i="13"/>
  <c r="S26" i="13"/>
  <c r="AM27" i="13"/>
  <c r="S27" i="13"/>
  <c r="AM28" i="13"/>
  <c r="S28" i="13"/>
  <c r="AO28" i="13" s="1"/>
  <c r="AM29" i="13"/>
  <c r="S29" i="13"/>
  <c r="AM30" i="13"/>
  <c r="S30" i="13"/>
  <c r="AM31" i="13"/>
  <c r="S31" i="13"/>
  <c r="AM32" i="13"/>
  <c r="S32" i="13"/>
  <c r="AM33" i="13"/>
  <c r="S33" i="13"/>
  <c r="S58" i="13"/>
  <c r="S66" i="13"/>
  <c r="X34" i="13"/>
  <c r="B49" i="8" s="1"/>
  <c r="D6" i="22" s="1"/>
  <c r="AJ34" i="13"/>
  <c r="N49" i="8" s="1"/>
  <c r="P6" i="22" s="1"/>
  <c r="AR10" i="13"/>
  <c r="AM14" i="13"/>
  <c r="S14" i="13"/>
  <c r="AQ19" i="13"/>
  <c r="AQ27" i="13"/>
  <c r="AP10" i="13"/>
  <c r="AM16" i="13"/>
  <c r="S16" i="13"/>
  <c r="AQ17" i="13"/>
  <c r="AM20" i="13"/>
  <c r="S20" i="13"/>
  <c r="U68" i="13"/>
  <c r="U21" i="21" s="1"/>
  <c r="Q12" i="23" s="1"/>
  <c r="H34" i="23" s="1"/>
  <c r="AF34" i="1"/>
  <c r="J48" i="8" s="1"/>
  <c r="L5" i="22" s="1"/>
  <c r="Q34" i="1"/>
  <c r="Q6" i="21" s="1"/>
  <c r="S45" i="1"/>
  <c r="S46" i="1"/>
  <c r="S49" i="1"/>
  <c r="S50" i="1"/>
  <c r="S53" i="1"/>
  <c r="S54" i="1"/>
  <c r="S57" i="1"/>
  <c r="S58" i="1"/>
  <c r="S61" i="1"/>
  <c r="S62" i="1"/>
  <c r="S65" i="1"/>
  <c r="S66" i="1"/>
  <c r="S47" i="1"/>
  <c r="S48" i="1"/>
  <c r="S51" i="1"/>
  <c r="S52" i="1"/>
  <c r="S55" i="1"/>
  <c r="S56" i="1"/>
  <c r="S59" i="1"/>
  <c r="S60" i="1"/>
  <c r="S63" i="1"/>
  <c r="S64" i="1"/>
  <c r="S67" i="1"/>
  <c r="AO23" i="13" l="1"/>
  <c r="T29" i="8"/>
  <c r="E53" i="10" s="1"/>
  <c r="U36" i="21"/>
  <c r="Q5" i="23"/>
  <c r="F35" i="23" s="1"/>
  <c r="B55" i="8"/>
  <c r="B3" i="12" s="1"/>
  <c r="G5" i="22"/>
  <c r="E55" i="8"/>
  <c r="B6" i="12" s="1"/>
  <c r="E5" i="22"/>
  <c r="C55" i="8"/>
  <c r="V39" i="21"/>
  <c r="W25" i="21" s="1"/>
  <c r="AA39" i="21" s="1"/>
  <c r="AO22" i="15"/>
  <c r="AO28" i="15"/>
  <c r="V38" i="21"/>
  <c r="W24" i="21" s="1"/>
  <c r="AA38" i="21" s="1"/>
  <c r="AO14" i="15"/>
  <c r="AO29" i="15"/>
  <c r="AO32" i="14"/>
  <c r="AO24" i="14"/>
  <c r="Q36" i="21"/>
  <c r="AO30" i="14"/>
  <c r="U34" i="21"/>
  <c r="U35" i="21"/>
  <c r="AO16" i="1"/>
  <c r="AO33" i="1"/>
  <c r="AO23" i="1"/>
  <c r="AO28" i="16"/>
  <c r="T36" i="21"/>
  <c r="AO12" i="1"/>
  <c r="AO31" i="14"/>
  <c r="AO29" i="1"/>
  <c r="AO27" i="1"/>
  <c r="AO23" i="16"/>
  <c r="T26" i="8"/>
  <c r="E50" i="10" s="1"/>
  <c r="T30" i="8"/>
  <c r="E54" i="10" s="1"/>
  <c r="B31" i="8"/>
  <c r="T22" i="8"/>
  <c r="E46" i="10" s="1"/>
  <c r="AO19" i="1"/>
  <c r="AO20" i="1"/>
  <c r="AO29" i="18"/>
  <c r="AO12" i="18"/>
  <c r="AO12" i="17"/>
  <c r="T21" i="8"/>
  <c r="E45" i="10" s="1"/>
  <c r="AO33" i="14"/>
  <c r="AO16" i="14"/>
  <c r="AO22" i="13"/>
  <c r="AO31" i="1"/>
  <c r="AO25" i="1"/>
  <c r="P41" i="21"/>
  <c r="U40" i="21"/>
  <c r="Q40" i="21"/>
  <c r="AO17" i="17"/>
  <c r="T38" i="21"/>
  <c r="R38" i="21"/>
  <c r="I41" i="21"/>
  <c r="U37" i="21"/>
  <c r="R37" i="21"/>
  <c r="M41" i="21"/>
  <c r="Q37" i="21"/>
  <c r="AO17" i="14"/>
  <c r="C41" i="21"/>
  <c r="L41" i="21"/>
  <c r="O41" i="21"/>
  <c r="J41" i="21"/>
  <c r="F41" i="21"/>
  <c r="G41" i="21"/>
  <c r="D41" i="21"/>
  <c r="B41" i="21"/>
  <c r="N41" i="21"/>
  <c r="T35" i="21"/>
  <c r="V35" i="21"/>
  <c r="W21" i="21" s="1"/>
  <c r="AA35" i="21" s="1"/>
  <c r="K41" i="21"/>
  <c r="H41" i="21"/>
  <c r="E41" i="21"/>
  <c r="Q34" i="21"/>
  <c r="AO21" i="1"/>
  <c r="AO32" i="1"/>
  <c r="T40" i="21"/>
  <c r="V40" i="21"/>
  <c r="W26" i="21" s="1"/>
  <c r="AA40" i="21" s="1"/>
  <c r="R40" i="21"/>
  <c r="T39" i="21"/>
  <c r="U38" i="21"/>
  <c r="Q38" i="21"/>
  <c r="T37" i="21"/>
  <c r="V37" i="21"/>
  <c r="W23" i="21" s="1"/>
  <c r="AA37" i="21" s="1"/>
  <c r="R36" i="21"/>
  <c r="V36" i="21"/>
  <c r="W22" i="21" s="1"/>
  <c r="AA36" i="21" s="1"/>
  <c r="U27" i="21"/>
  <c r="Q27" i="21"/>
  <c r="R35" i="21"/>
  <c r="Q35" i="21"/>
  <c r="V27" i="21"/>
  <c r="T27" i="21"/>
  <c r="R27" i="21"/>
  <c r="V34" i="21"/>
  <c r="W6" i="21" s="1"/>
  <c r="Z34" i="21" s="1"/>
  <c r="R34" i="21"/>
  <c r="R39" i="21"/>
  <c r="R13" i="21"/>
  <c r="V13" i="21"/>
  <c r="Q39" i="21"/>
  <c r="Q13" i="21"/>
  <c r="U13" i="21"/>
  <c r="U39" i="21"/>
  <c r="AO15" i="1"/>
  <c r="AO24" i="17"/>
  <c r="AO16" i="18"/>
  <c r="AO33" i="18"/>
  <c r="AO25" i="18"/>
  <c r="AO33" i="17"/>
  <c r="AO29" i="17"/>
  <c r="AO21" i="17"/>
  <c r="AO25" i="17"/>
  <c r="AO13" i="17"/>
  <c r="AO14" i="17"/>
  <c r="AO26" i="16"/>
  <c r="AO31" i="16"/>
  <c r="AO33" i="16"/>
  <c r="AO12" i="15"/>
  <c r="AO30" i="13"/>
  <c r="AO26" i="13"/>
  <c r="T8" i="8"/>
  <c r="E32" i="10" s="1"/>
  <c r="AO24" i="1"/>
  <c r="AO17" i="1"/>
  <c r="AO30" i="1"/>
  <c r="AO11" i="1"/>
  <c r="AO22" i="1"/>
  <c r="T16" i="8"/>
  <c r="E40" i="10" s="1"/>
  <c r="AO13" i="1"/>
  <c r="AO21" i="14"/>
  <c r="AO15" i="18"/>
  <c r="AO30" i="15"/>
  <c r="AO14" i="13"/>
  <c r="AO28" i="17"/>
  <c r="AO27" i="17"/>
  <c r="AO23" i="17"/>
  <c r="AO31" i="17"/>
  <c r="AO26" i="17"/>
  <c r="AO22" i="17"/>
  <c r="AO19" i="17"/>
  <c r="AO16" i="17"/>
  <c r="AO20" i="17"/>
  <c r="AO15" i="17"/>
  <c r="AO11" i="17"/>
  <c r="AO24" i="16"/>
  <c r="AO29" i="16"/>
  <c r="AO12" i="16"/>
  <c r="AO26" i="15"/>
  <c r="AO20" i="15"/>
  <c r="AO18" i="15"/>
  <c r="AO13" i="15"/>
  <c r="AO29" i="14"/>
  <c r="T24" i="8"/>
  <c r="E48" i="10" s="1"/>
  <c r="AO25" i="14"/>
  <c r="AO22" i="14"/>
  <c r="AO23" i="14"/>
  <c r="AO33" i="13"/>
  <c r="AO20" i="14"/>
  <c r="AO15" i="14"/>
  <c r="T28" i="8"/>
  <c r="E52" i="10" s="1"/>
  <c r="AO29" i="13"/>
  <c r="AO17" i="13"/>
  <c r="AO16" i="13"/>
  <c r="AO21" i="13"/>
  <c r="V49" i="8"/>
  <c r="AO26" i="1"/>
  <c r="AO18" i="1"/>
  <c r="T27" i="8"/>
  <c r="E51" i="10" s="1"/>
  <c r="T11" i="8"/>
  <c r="E35" i="10" s="1"/>
  <c r="T10" i="8"/>
  <c r="E34" i="10" s="1"/>
  <c r="AN34" i="1"/>
  <c r="R48" i="8" s="1"/>
  <c r="AR34" i="1"/>
  <c r="C21" i="10" s="1"/>
  <c r="AQ34" i="1"/>
  <c r="B21" i="10" s="1"/>
  <c r="AO22" i="18"/>
  <c r="AO13" i="18"/>
  <c r="V54" i="8"/>
  <c r="T12" i="8"/>
  <c r="E36" i="10" s="1"/>
  <c r="T23" i="8"/>
  <c r="E47" i="10" s="1"/>
  <c r="AO11" i="18"/>
  <c r="T18" i="8"/>
  <c r="E42" i="10" s="1"/>
  <c r="T20" i="8"/>
  <c r="E44" i="10" s="1"/>
  <c r="Q10" i="8"/>
  <c r="B34" i="10" s="1"/>
  <c r="Q28" i="8"/>
  <c r="S68" i="17"/>
  <c r="S25" i="21" s="1"/>
  <c r="AO30" i="17"/>
  <c r="AO18" i="17"/>
  <c r="V53" i="8"/>
  <c r="AO15" i="16"/>
  <c r="AO21" i="16"/>
  <c r="AO19" i="16"/>
  <c r="T17" i="8"/>
  <c r="E41" i="10" s="1"/>
  <c r="T13" i="8"/>
  <c r="E37" i="10" s="1"/>
  <c r="AO27" i="16"/>
  <c r="AO20" i="16"/>
  <c r="AP34" i="16"/>
  <c r="T52" i="8" s="1"/>
  <c r="T25" i="8"/>
  <c r="E49" i="10" s="1"/>
  <c r="T14" i="8"/>
  <c r="E38" i="10" s="1"/>
  <c r="T15" i="8"/>
  <c r="E39" i="10" s="1"/>
  <c r="Q23" i="8"/>
  <c r="B47" i="10" s="1"/>
  <c r="V52" i="8"/>
  <c r="R16" i="8"/>
  <c r="C40" i="10" s="1"/>
  <c r="R15" i="8"/>
  <c r="C39" i="10" s="1"/>
  <c r="AP34" i="15"/>
  <c r="T51" i="8" s="1"/>
  <c r="R59" i="8"/>
  <c r="Q11" i="8"/>
  <c r="B35" i="10" s="1"/>
  <c r="Q59" i="8"/>
  <c r="U57" i="8"/>
  <c r="U59" i="8"/>
  <c r="V51" i="8"/>
  <c r="R12" i="8"/>
  <c r="C36" i="10" s="1"/>
  <c r="R23" i="8"/>
  <c r="C47" i="10" s="1"/>
  <c r="R9" i="8"/>
  <c r="C33" i="10" s="1"/>
  <c r="F31" i="8"/>
  <c r="T59" i="8"/>
  <c r="R21" i="8"/>
  <c r="C45" i="10" s="1"/>
  <c r="R22" i="8"/>
  <c r="C46" i="10" s="1"/>
  <c r="Q14" i="8"/>
  <c r="B38" i="10" s="1"/>
  <c r="Q18" i="8"/>
  <c r="B42" i="10" s="1"/>
  <c r="Q27" i="8"/>
  <c r="B51" i="10" s="1"/>
  <c r="U21" i="8"/>
  <c r="F45" i="10" s="1"/>
  <c r="U28" i="8"/>
  <c r="Q15" i="8"/>
  <c r="B39" i="10" s="1"/>
  <c r="R29" i="8"/>
  <c r="C53" i="10" s="1"/>
  <c r="R17" i="8"/>
  <c r="C41" i="10" s="1"/>
  <c r="U30" i="8"/>
  <c r="F54" i="10" s="1"/>
  <c r="Q25" i="8"/>
  <c r="B49" i="10" s="1"/>
  <c r="R27" i="8"/>
  <c r="Q24" i="8"/>
  <c r="B48" i="10" s="1"/>
  <c r="R26" i="8"/>
  <c r="C50" i="10" s="1"/>
  <c r="Q20" i="8"/>
  <c r="B44" i="10" s="1"/>
  <c r="V13" i="8"/>
  <c r="G37" i="10" s="1"/>
  <c r="Q30" i="8"/>
  <c r="B54" i="10" s="1"/>
  <c r="V50" i="8"/>
  <c r="D31" i="8"/>
  <c r="V18" i="8"/>
  <c r="G42" i="10" s="1"/>
  <c r="K31" i="8"/>
  <c r="V28" i="8"/>
  <c r="U25" i="8"/>
  <c r="F49" i="10" s="1"/>
  <c r="V23" i="8"/>
  <c r="G47" i="10" s="1"/>
  <c r="U19" i="8"/>
  <c r="F43" i="10" s="1"/>
  <c r="Q19" i="8"/>
  <c r="B43" i="10" s="1"/>
  <c r="M31" i="8"/>
  <c r="Q12" i="8"/>
  <c r="B36" i="10" s="1"/>
  <c r="V17" i="8"/>
  <c r="G41" i="10" s="1"/>
  <c r="G55" i="8"/>
  <c r="B8" i="12" s="1"/>
  <c r="R57" i="8"/>
  <c r="V59" i="8"/>
  <c r="R30" i="8"/>
  <c r="C54" i="10" s="1"/>
  <c r="T19" i="8"/>
  <c r="E43" i="10" s="1"/>
  <c r="Q57" i="8"/>
  <c r="Q13" i="8"/>
  <c r="B37" i="10" s="1"/>
  <c r="Q8" i="8"/>
  <c r="B32" i="10" s="1"/>
  <c r="AO13" i="13"/>
  <c r="U18" i="8"/>
  <c r="F42" i="10" s="1"/>
  <c r="U10" i="8"/>
  <c r="F34" i="10" s="1"/>
  <c r="P31" i="8"/>
  <c r="R25" i="8"/>
  <c r="C49" i="10" s="1"/>
  <c r="E31" i="8"/>
  <c r="U13" i="8"/>
  <c r="F37" i="10" s="1"/>
  <c r="V24" i="8"/>
  <c r="G48" i="10" s="1"/>
  <c r="O31" i="8"/>
  <c r="V30" i="8"/>
  <c r="G54" i="10" s="1"/>
  <c r="Q17" i="8"/>
  <c r="B41" i="10" s="1"/>
  <c r="V25" i="8"/>
  <c r="G49" i="10" s="1"/>
  <c r="U17" i="8"/>
  <c r="F41" i="10" s="1"/>
  <c r="I31" i="8"/>
  <c r="V7" i="8"/>
  <c r="V16" i="8"/>
  <c r="G40" i="10" s="1"/>
  <c r="U22" i="8"/>
  <c r="F46" i="10" s="1"/>
  <c r="U27" i="8"/>
  <c r="F51" i="10" s="1"/>
  <c r="U29" i="8"/>
  <c r="F53" i="10" s="1"/>
  <c r="J31" i="8"/>
  <c r="R24" i="8"/>
  <c r="C48" i="10" s="1"/>
  <c r="Q26" i="8"/>
  <c r="B50" i="10" s="1"/>
  <c r="C31" i="8"/>
  <c r="R28" i="8"/>
  <c r="C52" i="10" s="1"/>
  <c r="U14" i="8"/>
  <c r="F38" i="10" s="1"/>
  <c r="V12" i="8"/>
  <c r="G36" i="10" s="1"/>
  <c r="V11" i="8"/>
  <c r="V15" i="8"/>
  <c r="G39" i="10" s="1"/>
  <c r="R18" i="8"/>
  <c r="C42" i="10" s="1"/>
  <c r="AO25" i="13"/>
  <c r="Q21" i="8"/>
  <c r="B45" i="10" s="1"/>
  <c r="L31" i="8"/>
  <c r="V21" i="8"/>
  <c r="G45" i="10" s="1"/>
  <c r="G31" i="8"/>
  <c r="V9" i="8"/>
  <c r="I55" i="8"/>
  <c r="B10" i="12" s="1"/>
  <c r="F55" i="8"/>
  <c r="B7" i="12" s="1"/>
  <c r="P55" i="8"/>
  <c r="Q22" i="8"/>
  <c r="B46" i="10" s="1"/>
  <c r="R8" i="8"/>
  <c r="C32" i="10" s="1"/>
  <c r="R14" i="8"/>
  <c r="C38" i="10" s="1"/>
  <c r="V20" i="8"/>
  <c r="G44" i="10" s="1"/>
  <c r="Q7" i="8"/>
  <c r="B31" i="10" s="1"/>
  <c r="R13" i="8"/>
  <c r="C37" i="10" s="1"/>
  <c r="R20" i="8"/>
  <c r="C44" i="10" s="1"/>
  <c r="O55" i="8"/>
  <c r="B16" i="12" s="1"/>
  <c r="Q29" i="8"/>
  <c r="B53" i="10" s="1"/>
  <c r="V14" i="8"/>
  <c r="G38" i="10" s="1"/>
  <c r="Q16" i="8"/>
  <c r="B40" i="10" s="1"/>
  <c r="U24" i="8"/>
  <c r="F48" i="10" s="1"/>
  <c r="U16" i="8"/>
  <c r="F40" i="10" s="1"/>
  <c r="U7" i="8"/>
  <c r="F31" i="10" s="1"/>
  <c r="R10" i="8"/>
  <c r="C34" i="10" s="1"/>
  <c r="U11" i="8"/>
  <c r="F35" i="10" s="1"/>
  <c r="V29" i="8"/>
  <c r="G53" i="10" s="1"/>
  <c r="T7" i="8"/>
  <c r="R11" i="8"/>
  <c r="C35" i="10" s="1"/>
  <c r="V10" i="8"/>
  <c r="G34" i="10" s="1"/>
  <c r="V27" i="8"/>
  <c r="G51" i="10" s="1"/>
  <c r="R7" i="8"/>
  <c r="C31" i="10" s="1"/>
  <c r="D55" i="8"/>
  <c r="B5" i="12" s="1"/>
  <c r="H55" i="8"/>
  <c r="B9" i="12" s="1"/>
  <c r="L55" i="8"/>
  <c r="U20" i="8"/>
  <c r="F44" i="10" s="1"/>
  <c r="U26" i="8"/>
  <c r="F50" i="10" s="1"/>
  <c r="V26" i="8"/>
  <c r="G50" i="10" s="1"/>
  <c r="R19" i="8"/>
  <c r="C43" i="10" s="1"/>
  <c r="U12" i="8"/>
  <c r="F36" i="10" s="1"/>
  <c r="V22" i="8"/>
  <c r="G46" i="10" s="1"/>
  <c r="U23" i="8"/>
  <c r="F47" i="10" s="1"/>
  <c r="U15" i="8"/>
  <c r="F39" i="10" s="1"/>
  <c r="H31" i="8"/>
  <c r="V57" i="8"/>
  <c r="K55" i="8"/>
  <c r="B12" i="12" s="1"/>
  <c r="AO14" i="1"/>
  <c r="AM34" i="1"/>
  <c r="Q48" i="8" s="1"/>
  <c r="V19" i="8"/>
  <c r="G43" i="10" s="1"/>
  <c r="U9" i="8"/>
  <c r="AO28" i="1"/>
  <c r="V8" i="8"/>
  <c r="U8" i="8"/>
  <c r="F32" i="10" s="1"/>
  <c r="Q9" i="8"/>
  <c r="B33" i="10" s="1"/>
  <c r="T9" i="8"/>
  <c r="E33" i="10" s="1"/>
  <c r="N31" i="8"/>
  <c r="B72" i="10"/>
  <c r="M55" i="8"/>
  <c r="B14" i="12" s="1"/>
  <c r="B73" i="10"/>
  <c r="N55" i="8"/>
  <c r="B15" i="12" s="1"/>
  <c r="J55" i="8"/>
  <c r="B11" i="12" s="1"/>
  <c r="AO23" i="18"/>
  <c r="AO24" i="18"/>
  <c r="AP34" i="18"/>
  <c r="T54" i="8" s="1"/>
  <c r="AO21" i="18"/>
  <c r="AO20" i="18"/>
  <c r="AO26" i="18"/>
  <c r="AO18" i="18"/>
  <c r="AO17" i="18"/>
  <c r="AN34" i="18"/>
  <c r="R54" i="8" s="1"/>
  <c r="AO32" i="18"/>
  <c r="AO30" i="18"/>
  <c r="AO31" i="18"/>
  <c r="S68" i="18"/>
  <c r="S26" i="21" s="1"/>
  <c r="AO28" i="18"/>
  <c r="AR34" i="18"/>
  <c r="C27" i="10" s="1"/>
  <c r="AO14" i="18"/>
  <c r="AQ34" i="18"/>
  <c r="AM34" i="18"/>
  <c r="Q54" i="8" s="1"/>
  <c r="AO27" i="18"/>
  <c r="AO19" i="18"/>
  <c r="S34" i="18"/>
  <c r="S12" i="21" s="1"/>
  <c r="AP34" i="17"/>
  <c r="T53" i="8" s="1"/>
  <c r="AM34" i="17"/>
  <c r="Q53" i="8" s="1"/>
  <c r="AO32" i="17"/>
  <c r="AQ34" i="17"/>
  <c r="AN34" i="17"/>
  <c r="R53" i="8" s="1"/>
  <c r="AR34" i="17"/>
  <c r="C26" i="10" s="1"/>
  <c r="AO10" i="17"/>
  <c r="S34" i="17"/>
  <c r="S11" i="21" s="1"/>
  <c r="AO17" i="16"/>
  <c r="AO14" i="16"/>
  <c r="AO11" i="16"/>
  <c r="AO18" i="16"/>
  <c r="AO32" i="16"/>
  <c r="AO13" i="16"/>
  <c r="AO16" i="16"/>
  <c r="AO25" i="16"/>
  <c r="AR34" i="16"/>
  <c r="C25" i="10" s="1"/>
  <c r="AO30" i="16"/>
  <c r="AO22" i="16"/>
  <c r="AN34" i="16"/>
  <c r="R52" i="8" s="1"/>
  <c r="AM34" i="16"/>
  <c r="Q52" i="8" s="1"/>
  <c r="S68" i="16"/>
  <c r="S24" i="21" s="1"/>
  <c r="AQ34" i="16"/>
  <c r="S34" i="16"/>
  <c r="S10" i="21" s="1"/>
  <c r="AO10" i="16"/>
  <c r="S68" i="15"/>
  <c r="S23" i="21" s="1"/>
  <c r="AM34" i="15"/>
  <c r="Q51" i="8" s="1"/>
  <c r="AO33" i="15"/>
  <c r="AO25" i="15"/>
  <c r="AO21" i="15"/>
  <c r="AO19" i="15"/>
  <c r="AO17" i="15"/>
  <c r="AO15" i="15"/>
  <c r="AO32" i="15"/>
  <c r="AO24" i="15"/>
  <c r="AO16" i="15"/>
  <c r="AO11" i="15"/>
  <c r="AO31" i="15"/>
  <c r="AO27" i="15"/>
  <c r="AQ34" i="15"/>
  <c r="AO23" i="15"/>
  <c r="AN34" i="15"/>
  <c r="R51" i="8" s="1"/>
  <c r="AO10" i="15"/>
  <c r="S34" i="15"/>
  <c r="S9" i="21" s="1"/>
  <c r="AR34" i="15"/>
  <c r="C24" i="10" s="1"/>
  <c r="AP34" i="14"/>
  <c r="T50" i="8" s="1"/>
  <c r="AO18" i="14"/>
  <c r="AR34" i="14"/>
  <c r="C23" i="10" s="1"/>
  <c r="AO12" i="14"/>
  <c r="AO13" i="14"/>
  <c r="AO14" i="14"/>
  <c r="AO26" i="14"/>
  <c r="S68" i="14"/>
  <c r="S22" i="21" s="1"/>
  <c r="AO28" i="14"/>
  <c r="AO27" i="14"/>
  <c r="AO19" i="14"/>
  <c r="AN34" i="14"/>
  <c r="R50" i="8" s="1"/>
  <c r="AQ34" i="14"/>
  <c r="AO11" i="14"/>
  <c r="AM34" i="14"/>
  <c r="Q50" i="8" s="1"/>
  <c r="S34" i="14"/>
  <c r="S8" i="21" s="1"/>
  <c r="AO10" i="14"/>
  <c r="AO19" i="13"/>
  <c r="AO31" i="13"/>
  <c r="AO15" i="13"/>
  <c r="AO27" i="13"/>
  <c r="AO20" i="13"/>
  <c r="AO12" i="13"/>
  <c r="AO11" i="13"/>
  <c r="AO18" i="13"/>
  <c r="AP34" i="13"/>
  <c r="T49" i="8" s="1"/>
  <c r="AN34" i="13"/>
  <c r="R49" i="8" s="1"/>
  <c r="AR34" i="13"/>
  <c r="C22" i="10" s="1"/>
  <c r="AM34" i="13"/>
  <c r="Q49" i="8" s="1"/>
  <c r="AQ34" i="13"/>
  <c r="S34" i="13"/>
  <c r="S7" i="21" s="1"/>
  <c r="S68" i="13"/>
  <c r="S21" i="21" s="1"/>
  <c r="AO32" i="13"/>
  <c r="AO24" i="13"/>
  <c r="AO10" i="13"/>
  <c r="S68" i="1"/>
  <c r="S20" i="21" s="1"/>
  <c r="T10" i="1"/>
  <c r="F17" i="22" l="1"/>
  <c r="B13" i="12"/>
  <c r="D17" i="22"/>
  <c r="B4" i="12"/>
  <c r="F21" i="22"/>
  <c r="B17" i="12"/>
  <c r="B20" i="12" s="1"/>
  <c r="B18" i="12"/>
  <c r="W11" i="21"/>
  <c r="Z39" i="21" s="1"/>
  <c r="W9" i="21"/>
  <c r="Z37" i="21" s="1"/>
  <c r="W20" i="21"/>
  <c r="AA34" i="21" s="1"/>
  <c r="W8" i="21"/>
  <c r="Z36" i="21" s="1"/>
  <c r="W12" i="21"/>
  <c r="Z40" i="21" s="1"/>
  <c r="W7" i="21"/>
  <c r="Z35" i="21" s="1"/>
  <c r="W10" i="21"/>
  <c r="Z38" i="21" s="1"/>
  <c r="Y11" i="8"/>
  <c r="E31" i="10"/>
  <c r="E55" i="10" s="1"/>
  <c r="T31" i="8"/>
  <c r="G31" i="10"/>
  <c r="C51" i="10"/>
  <c r="C55" i="10" s="1"/>
  <c r="R31" i="8"/>
  <c r="B52" i="10"/>
  <c r="B55" i="10" s="1"/>
  <c r="Q31" i="8"/>
  <c r="G52" i="10"/>
  <c r="V31" i="8"/>
  <c r="W25" i="8" s="1"/>
  <c r="F52" i="10"/>
  <c r="U31" i="8"/>
  <c r="F33" i="10"/>
  <c r="G33" i="10"/>
  <c r="S36" i="21"/>
  <c r="Y52" i="8"/>
  <c r="T9" i="22"/>
  <c r="Y51" i="8"/>
  <c r="T8" i="22"/>
  <c r="Y50" i="8"/>
  <c r="T7" i="22"/>
  <c r="Y49" i="8"/>
  <c r="T6" i="22"/>
  <c r="V48" i="8"/>
  <c r="D5" i="22"/>
  <c r="D23" i="22"/>
  <c r="F20" i="22"/>
  <c r="F19" i="22"/>
  <c r="F18" i="22"/>
  <c r="Y54" i="8"/>
  <c r="T11" i="22"/>
  <c r="F16" i="22"/>
  <c r="D19" i="22"/>
  <c r="D18" i="22"/>
  <c r="D20" i="22"/>
  <c r="D21" i="22"/>
  <c r="D22" i="22"/>
  <c r="D24" i="22"/>
  <c r="Y53" i="8"/>
  <c r="T10" i="22"/>
  <c r="G35" i="10"/>
  <c r="G32" i="10"/>
  <c r="B56" i="8"/>
  <c r="S40" i="21"/>
  <c r="S37" i="21"/>
  <c r="S38" i="21"/>
  <c r="V41" i="21"/>
  <c r="W27" i="21" s="1"/>
  <c r="Q41" i="21"/>
  <c r="R41" i="21"/>
  <c r="S27" i="21"/>
  <c r="S35" i="21"/>
  <c r="U41" i="21"/>
  <c r="P58" i="8"/>
  <c r="P60" i="8" s="1"/>
  <c r="S39" i="21"/>
  <c r="L56" i="8"/>
  <c r="D40" i="22" s="1"/>
  <c r="D3" i="20"/>
  <c r="G3" i="20"/>
  <c r="F58" i="8"/>
  <c r="F60" i="8" s="1"/>
  <c r="E3" i="20"/>
  <c r="F3" i="20"/>
  <c r="H3" i="20"/>
  <c r="E56" i="8"/>
  <c r="C3" i="20"/>
  <c r="U48" i="8"/>
  <c r="I56" i="8"/>
  <c r="S23" i="8"/>
  <c r="D47" i="10" s="1"/>
  <c r="S59" i="8"/>
  <c r="S30" i="8"/>
  <c r="D54" i="10" s="1"/>
  <c r="O58" i="8"/>
  <c r="O60" i="8" s="1"/>
  <c r="U54" i="8"/>
  <c r="B27" i="10"/>
  <c r="AO34" i="17"/>
  <c r="S53" i="8" s="1"/>
  <c r="B26" i="10"/>
  <c r="U53" i="8"/>
  <c r="S15" i="8"/>
  <c r="D39" i="10" s="1"/>
  <c r="U52" i="8"/>
  <c r="B25" i="10"/>
  <c r="H58" i="8"/>
  <c r="H60" i="8" s="1"/>
  <c r="G58" i="8"/>
  <c r="G60" i="8" s="1"/>
  <c r="S17" i="8"/>
  <c r="D41" i="10" s="1"/>
  <c r="L58" i="8"/>
  <c r="L60" i="8" s="1"/>
  <c r="S26" i="8"/>
  <c r="D50" i="10" s="1"/>
  <c r="S20" i="8"/>
  <c r="D44" i="10" s="1"/>
  <c r="S14" i="8"/>
  <c r="D38" i="10" s="1"/>
  <c r="P56" i="8"/>
  <c r="F33" i="22" s="1"/>
  <c r="U51" i="8"/>
  <c r="B24" i="10"/>
  <c r="S27" i="8"/>
  <c r="D51" i="10" s="1"/>
  <c r="S12" i="8"/>
  <c r="D36" i="10" s="1"/>
  <c r="B23" i="10"/>
  <c r="U50" i="8"/>
  <c r="X50" i="8" s="1"/>
  <c r="S13" i="8"/>
  <c r="D37" i="10" s="1"/>
  <c r="K56" i="8"/>
  <c r="D39" i="22" s="1"/>
  <c r="S25" i="8"/>
  <c r="D49" i="10" s="1"/>
  <c r="S19" i="8"/>
  <c r="D43" i="10" s="1"/>
  <c r="R55" i="8"/>
  <c r="R58" i="8" s="1"/>
  <c r="K58" i="8"/>
  <c r="K60" i="8" s="1"/>
  <c r="S24" i="8"/>
  <c r="D48" i="10" s="1"/>
  <c r="F56" i="8"/>
  <c r="G56" i="8"/>
  <c r="S21" i="8"/>
  <c r="D45" i="10" s="1"/>
  <c r="S18" i="8"/>
  <c r="D42" i="10" s="1"/>
  <c r="S10" i="8"/>
  <c r="D34" i="10" s="1"/>
  <c r="I58" i="8"/>
  <c r="I60" i="8" s="1"/>
  <c r="E58" i="8"/>
  <c r="E60" i="8" s="1"/>
  <c r="Q55" i="8"/>
  <c r="Q58" i="8" s="1"/>
  <c r="S28" i="8"/>
  <c r="D52" i="10" s="1"/>
  <c r="U49" i="8"/>
  <c r="B22" i="10"/>
  <c r="S29" i="8"/>
  <c r="D53" i="10" s="1"/>
  <c r="H56" i="8"/>
  <c r="S22" i="8"/>
  <c r="D46" i="10" s="1"/>
  <c r="S16" i="8"/>
  <c r="D40" i="10" s="1"/>
  <c r="S11" i="8"/>
  <c r="D35" i="10" s="1"/>
  <c r="D56" i="8"/>
  <c r="D32" i="22" s="1"/>
  <c r="O56" i="8"/>
  <c r="F32" i="22" s="1"/>
  <c r="C58" i="8"/>
  <c r="C60" i="8" s="1"/>
  <c r="C56" i="8"/>
  <c r="S8" i="8"/>
  <c r="D32" i="10" s="1"/>
  <c r="D58" i="8"/>
  <c r="D60" i="8" s="1"/>
  <c r="S7" i="8"/>
  <c r="D31" i="10" s="1"/>
  <c r="S9" i="8"/>
  <c r="T34" i="1"/>
  <c r="AP10" i="1"/>
  <c r="AP34" i="1" s="1"/>
  <c r="T48" i="8" s="1"/>
  <c r="T55" i="8" s="1"/>
  <c r="M56" i="8"/>
  <c r="F30" i="22" s="1"/>
  <c r="M58" i="8"/>
  <c r="M60" i="8" s="1"/>
  <c r="N58" i="8"/>
  <c r="N60" i="8" s="1"/>
  <c r="N56" i="8"/>
  <c r="F31" i="22" s="1"/>
  <c r="Y55" i="8"/>
  <c r="J58" i="8"/>
  <c r="J60" i="8" s="1"/>
  <c r="J56" i="8"/>
  <c r="D38" i="22" s="1"/>
  <c r="AO34" i="18"/>
  <c r="S54" i="8" s="1"/>
  <c r="AO34" i="16"/>
  <c r="S52" i="8" s="1"/>
  <c r="AO34" i="15"/>
  <c r="S51" i="8" s="1"/>
  <c r="AO34" i="14"/>
  <c r="S50" i="8" s="1"/>
  <c r="AO34" i="13"/>
  <c r="S49" i="8" s="1"/>
  <c r="S10" i="1"/>
  <c r="B22" i="12" l="1"/>
  <c r="B21" i="12"/>
  <c r="F37" i="22" s="1"/>
  <c r="W13" i="21"/>
  <c r="F55" i="10"/>
  <c r="AA11" i="8"/>
  <c r="D29" i="12" s="1"/>
  <c r="O30" i="22" s="1"/>
  <c r="G55" i="10"/>
  <c r="W30" i="8"/>
  <c r="W7" i="8"/>
  <c r="D33" i="10"/>
  <c r="D55" i="10" s="1"/>
  <c r="S31" i="8"/>
  <c r="X52" i="8"/>
  <c r="S9" i="22"/>
  <c r="X51" i="8"/>
  <c r="S8" i="22"/>
  <c r="S7" i="22"/>
  <c r="X49" i="8"/>
  <c r="S6" i="22"/>
  <c r="X48" i="8"/>
  <c r="S5" i="22"/>
  <c r="Y48" i="8"/>
  <c r="T5" i="22"/>
  <c r="F36" i="22"/>
  <c r="X54" i="8"/>
  <c r="S11" i="22"/>
  <c r="D16" i="22"/>
  <c r="X53" i="8"/>
  <c r="S10" i="22"/>
  <c r="G8" i="20"/>
  <c r="D36" i="22"/>
  <c r="C8" i="20"/>
  <c r="D33" i="22"/>
  <c r="H8" i="20"/>
  <c r="D37" i="22"/>
  <c r="E8" i="20"/>
  <c r="D34" i="22"/>
  <c r="F8" i="20"/>
  <c r="D35" i="22"/>
  <c r="D8" i="20"/>
  <c r="D31" i="22"/>
  <c r="W11" i="8"/>
  <c r="C29" i="12"/>
  <c r="N30" i="22" s="1"/>
  <c r="B58" i="8"/>
  <c r="B60" i="8" s="1"/>
  <c r="V60" i="8" s="1"/>
  <c r="V55" i="8"/>
  <c r="B23" i="12" s="1"/>
  <c r="X55" i="8"/>
  <c r="T60" i="8"/>
  <c r="T57" i="8"/>
  <c r="T58" i="8" s="1"/>
  <c r="T6" i="21"/>
  <c r="W24" i="8"/>
  <c r="W26" i="8"/>
  <c r="W27" i="8"/>
  <c r="W23" i="8"/>
  <c r="T56" i="8"/>
  <c r="W20" i="8"/>
  <c r="W29" i="8"/>
  <c r="W19" i="8"/>
  <c r="W22" i="8"/>
  <c r="R60" i="8"/>
  <c r="W28" i="8"/>
  <c r="W21" i="8"/>
  <c r="U55" i="8"/>
  <c r="R56" i="8"/>
  <c r="W12" i="8"/>
  <c r="W18" i="8"/>
  <c r="W17" i="8"/>
  <c r="W16" i="8"/>
  <c r="W15" i="8"/>
  <c r="W14" i="8"/>
  <c r="W13" i="8"/>
  <c r="W10" i="8"/>
  <c r="W9" i="8"/>
  <c r="W8" i="8"/>
  <c r="S34" i="1"/>
  <c r="AO10" i="1"/>
  <c r="AO34" i="1" s="1"/>
  <c r="S48" i="8" s="1"/>
  <c r="S55" i="8" s="1"/>
  <c r="B66" i="10"/>
  <c r="B70" i="10"/>
  <c r="B68" i="10"/>
  <c r="B71" i="10"/>
  <c r="B69" i="10"/>
  <c r="B64" i="10"/>
  <c r="B65" i="10"/>
  <c r="B67" i="10"/>
  <c r="B63" i="10"/>
  <c r="B62" i="10"/>
  <c r="B19" i="12" l="1"/>
  <c r="F35" i="22" s="1"/>
  <c r="U58" i="8"/>
  <c r="F22" i="22"/>
  <c r="F39" i="22"/>
  <c r="F23" i="22"/>
  <c r="F38" i="22"/>
  <c r="F34" i="22"/>
  <c r="V56" i="8"/>
  <c r="D30" i="22"/>
  <c r="Q56" i="8"/>
  <c r="S56" i="8" s="1"/>
  <c r="U56" i="8"/>
  <c r="Q60" i="8"/>
  <c r="S60" i="8" s="1"/>
  <c r="U60" i="8"/>
  <c r="V58" i="8"/>
  <c r="S57" i="8"/>
  <c r="S58" i="8" s="1"/>
  <c r="S6" i="21"/>
  <c r="S34" i="21" s="1"/>
  <c r="T13" i="21"/>
  <c r="T34" i="21"/>
  <c r="T41" i="21" s="1"/>
  <c r="B74" i="10"/>
  <c r="C68" i="10" s="1"/>
  <c r="C14" i="10"/>
  <c r="C10" i="10"/>
  <c r="C3" i="10"/>
  <c r="C8" i="10"/>
  <c r="C16" i="10"/>
  <c r="C11" i="10"/>
  <c r="C13" i="10"/>
  <c r="C12" i="10"/>
  <c r="C7" i="10"/>
  <c r="C6" i="10"/>
  <c r="C15" i="10"/>
  <c r="C4" i="10"/>
  <c r="C5" i="10"/>
  <c r="C9" i="10"/>
  <c r="C17" i="10" l="1"/>
  <c r="E14" i="10" s="1"/>
  <c r="C62" i="10"/>
  <c r="J16" i="22" s="1"/>
  <c r="S41" i="21"/>
  <c r="S13" i="21"/>
  <c r="C72" i="10"/>
  <c r="L20" i="22" s="1"/>
  <c r="C73" i="10"/>
  <c r="C71" i="10"/>
  <c r="C63" i="10"/>
  <c r="C67" i="10"/>
  <c r="J21" i="22" s="1"/>
  <c r="C70" i="10"/>
  <c r="C66" i="10"/>
  <c r="C64" i="10"/>
  <c r="C65" i="10"/>
  <c r="C69" i="10"/>
  <c r="C36" i="12" l="1"/>
  <c r="L19" i="22"/>
  <c r="E71" i="10"/>
  <c r="H36" i="12"/>
  <c r="J19" i="22"/>
  <c r="F36" i="12"/>
  <c r="L18" i="22"/>
  <c r="G36" i="12"/>
  <c r="J18" i="22"/>
  <c r="M36" i="12"/>
  <c r="L21" i="22"/>
  <c r="I36" i="12"/>
  <c r="J20" i="22"/>
  <c r="E36" i="12"/>
  <c r="L17" i="22"/>
  <c r="K36" i="12"/>
  <c r="L16" i="22"/>
  <c r="D36" i="12"/>
  <c r="J17" i="22"/>
  <c r="C74" i="10"/>
  <c r="L36" i="12"/>
  <c r="J36" i="12"/>
  <c r="E11" i="10"/>
  <c r="E10" i="10"/>
  <c r="E16" i="10"/>
  <c r="E8" i="10"/>
  <c r="E5" i="10"/>
  <c r="E13" i="10"/>
  <c r="E4" i="10"/>
  <c r="E15" i="10"/>
  <c r="E9" i="10"/>
  <c r="E6" i="10"/>
  <c r="E3" i="10"/>
  <c r="E7" i="10"/>
  <c r="E12" i="10"/>
  <c r="E17" i="10" l="1"/>
</calcChain>
</file>

<file path=xl/sharedStrings.xml><?xml version="1.0" encoding="utf-8"?>
<sst xmlns="http://schemas.openxmlformats.org/spreadsheetml/2006/main" count="1145" uniqueCount="242">
  <si>
    <t>Classified Traffic Volume Count Survey - DAY-1</t>
  </si>
  <si>
    <t>Direction : Both Directions</t>
  </si>
  <si>
    <t>Time</t>
  </si>
  <si>
    <t>Cls - 1</t>
  </si>
  <si>
    <t>Cls - 2</t>
  </si>
  <si>
    <t>Cls - 3</t>
  </si>
  <si>
    <t>Cls - 4</t>
  </si>
  <si>
    <t>Cls - 5</t>
  </si>
  <si>
    <t>Cls - 6</t>
  </si>
  <si>
    <t>Cls - 7</t>
  </si>
  <si>
    <t>Cls - 8</t>
  </si>
  <si>
    <t>Cls - 9</t>
  </si>
  <si>
    <t>Cls - 10</t>
  </si>
  <si>
    <t>Cls - 11</t>
  </si>
  <si>
    <t>Cls - 12</t>
  </si>
  <si>
    <t>Cls - 13</t>
  </si>
  <si>
    <t>Cls - 14</t>
  </si>
  <si>
    <t>Passenger Vehicles</t>
  </si>
  <si>
    <t>Freight Vehicles</t>
  </si>
  <si>
    <t>Total Fast Moving Vehicles</t>
  </si>
  <si>
    <t>Total Slow Moving Vehicles</t>
  </si>
  <si>
    <t>Total Vehicles</t>
  </si>
  <si>
    <t>Total PCU</t>
  </si>
  <si>
    <t>Total</t>
  </si>
  <si>
    <t>Classified Traffic Volume Count Survey - DAY-2</t>
  </si>
  <si>
    <t>Classified Traffic Volume Count Survey - DAY-3</t>
  </si>
  <si>
    <t>Classified Traffic Volume Count Survey - DAY-4</t>
  </si>
  <si>
    <t>Classified Traffic Volume Count Survey - DAY-5</t>
  </si>
  <si>
    <t>Classified Traffic Volume Count Survey - DAY-6</t>
  </si>
  <si>
    <t>Classified Traffic Volume Count Survey - DAY-7</t>
  </si>
  <si>
    <t>Classified Traffic Volume Count Survey - Average of 7 Days</t>
  </si>
  <si>
    <t>Direction : Both</t>
  </si>
  <si>
    <t>AADT SF</t>
  </si>
  <si>
    <t>PV</t>
  </si>
  <si>
    <t>CV</t>
  </si>
  <si>
    <t>Day</t>
  </si>
  <si>
    <t>Vehicles</t>
  </si>
  <si>
    <t>PCU's</t>
  </si>
  <si>
    <t>Day - 1</t>
  </si>
  <si>
    <t>Saturday</t>
  </si>
  <si>
    <t>Day - 2</t>
  </si>
  <si>
    <t>Sunday</t>
  </si>
  <si>
    <t>Day - 3</t>
  </si>
  <si>
    <t>Monday</t>
  </si>
  <si>
    <t>Day - 4</t>
  </si>
  <si>
    <t>Tuesday</t>
  </si>
  <si>
    <t>Day - 5</t>
  </si>
  <si>
    <t>Wednesday</t>
  </si>
  <si>
    <t>Day - 6</t>
  </si>
  <si>
    <t>Thursday</t>
  </si>
  <si>
    <t>Day - 7</t>
  </si>
  <si>
    <t>Friday</t>
  </si>
  <si>
    <t>ADT</t>
  </si>
  <si>
    <t>AADT</t>
  </si>
  <si>
    <t>PCUs</t>
  </si>
  <si>
    <t>Day 1</t>
  </si>
  <si>
    <t>Day 2</t>
  </si>
  <si>
    <t>Day 3</t>
  </si>
  <si>
    <t>Day 4</t>
  </si>
  <si>
    <t>Day 5</t>
  </si>
  <si>
    <t>Day 6</t>
  </si>
  <si>
    <t>Day 7</t>
  </si>
  <si>
    <t xml:space="preserve">Time interval </t>
  </si>
  <si>
    <t>PCU</t>
  </si>
  <si>
    <t>Cycle</t>
  </si>
  <si>
    <t>LMV</t>
  </si>
  <si>
    <t>LCV</t>
  </si>
  <si>
    <t>2-Wheeler</t>
  </si>
  <si>
    <t>3-Wheeler</t>
  </si>
  <si>
    <t>Tractor</t>
  </si>
  <si>
    <t>Tractor with trailor</t>
  </si>
  <si>
    <t>Car, Jeep, Van&amp; Taxi</t>
  </si>
  <si>
    <t>2Axle</t>
  </si>
  <si>
    <t>3Axle</t>
  </si>
  <si>
    <t>4-6Axle</t>
  </si>
  <si>
    <t>Rickshaw</t>
  </si>
  <si>
    <t>EME &amp; HCM</t>
  </si>
  <si>
    <t>Total Tollable Vehicles</t>
  </si>
  <si>
    <t>Total Tollable PCUs</t>
  </si>
  <si>
    <t>Bus</t>
  </si>
  <si>
    <t>Motorized Vehicles</t>
  </si>
  <si>
    <t>Non Motorized</t>
  </si>
  <si>
    <t>7+ - Axle</t>
  </si>
  <si>
    <t>ADT(LHS)</t>
  </si>
  <si>
    <t>ADT(RHS)</t>
  </si>
  <si>
    <t>AADT(LHS)</t>
  </si>
  <si>
    <t>AADT(RHS)</t>
  </si>
  <si>
    <t>Summary of Average Daily Traffic (ADT)</t>
  </si>
  <si>
    <t>Vehicle Category</t>
  </si>
  <si>
    <t>Non-Tollable Vehicles</t>
  </si>
  <si>
    <t>Non-Tollable PCU</t>
  </si>
  <si>
    <t>Max</t>
  </si>
  <si>
    <t>Peak hour</t>
  </si>
  <si>
    <t>PHP</t>
  </si>
  <si>
    <t>Peak Hour Factors Observed at Traffic Count Locations</t>
  </si>
  <si>
    <t>Sl. No</t>
  </si>
  <si>
    <t>Survey Location</t>
  </si>
  <si>
    <t>Peak Hour Volume (PCU)</t>
  </si>
  <si>
    <t>PHP(%)</t>
  </si>
  <si>
    <t>Peak Hour</t>
  </si>
  <si>
    <t>Traffic Composition</t>
  </si>
  <si>
    <t>Cars</t>
  </si>
  <si>
    <t>Buses</t>
  </si>
  <si>
    <t>2W</t>
  </si>
  <si>
    <t>Auto</t>
  </si>
  <si>
    <t>2 Axle</t>
  </si>
  <si>
    <t>3 Axle</t>
  </si>
  <si>
    <t>MAV</t>
  </si>
  <si>
    <t>Tractors</t>
  </si>
  <si>
    <t>Slow Moving Vehicles</t>
  </si>
  <si>
    <t>Sensors</t>
  </si>
  <si>
    <t xml:space="preserve"> Pneumatic tubes</t>
  </si>
  <si>
    <t>Tube spacing</t>
  </si>
  <si>
    <t xml:space="preserve"> 80-120 cm (100cm by default)</t>
  </si>
  <si>
    <t>Internal battery</t>
  </si>
  <si>
    <t>Memory</t>
  </si>
  <si>
    <t xml:space="preserve"> Up to 4 million axles</t>
  </si>
  <si>
    <t>Memory type</t>
  </si>
  <si>
    <t xml:space="preserve"> Flash</t>
  </si>
  <si>
    <t>Time resolution</t>
  </si>
  <si>
    <t xml:space="preserve"> Better than 0.688ms</t>
  </si>
  <si>
    <t>Dimensions</t>
  </si>
  <si>
    <t xml:space="preserve"> 350mm x 124mm x 95mm</t>
  </si>
  <si>
    <t>Total weight</t>
  </si>
  <si>
    <t xml:space="preserve"> 4.13kg</t>
  </si>
  <si>
    <t>Included</t>
  </si>
  <si>
    <t>Required accessories</t>
  </si>
  <si>
    <t>Add-ons</t>
  </si>
  <si>
    <t xml:space="preserve"> Remote Access Module</t>
  </si>
  <si>
    <t xml:space="preserve"> 6V 18Ah, 4D alkaline cells</t>
  </si>
  <si>
    <t xml:space="preserve">Enclosure </t>
  </si>
  <si>
    <t>Dual system with stainless steel road case and PVC internal unit</t>
  </si>
  <si>
    <t xml:space="preserve"> MTE software, operating manual </t>
  </si>
  <si>
    <t xml:space="preserve"> Traffic survey field kit, data communications cable</t>
  </si>
  <si>
    <t>Size</t>
  </si>
  <si>
    <t>Data event recording</t>
  </si>
  <si>
    <t>Weight</t>
  </si>
  <si>
    <t>Power</t>
  </si>
  <si>
    <t>Memory capacity</t>
  </si>
  <si>
    <t>Tube nozzle</t>
  </si>
  <si>
    <t>Dual-nozzle for mini (low profile) or standard tube sizes.</t>
  </si>
  <si>
    <t>Environmental temperature range</t>
  </si>
  <si>
    <t>Output port</t>
  </si>
  <si>
    <t>Software</t>
  </si>
  <si>
    <t>Military spec weather resistant plug for high speed communication via USB cable. Up to 12 MBaud download speeds.</t>
  </si>
  <si>
    <t>2 Channel event time stamp data at a resolution of  0.688ms.</t>
  </si>
  <si>
    <t>MetrCount is a complete and comprehensive software package that includes common export and printing formats such as Excel, PDF, text, and more. Windows based, easy to use with powerful data analysis.</t>
  </si>
  <si>
    <t>Upto 4 million axles</t>
  </si>
  <si>
    <t xml:space="preserve"> -10° C to 70° C</t>
  </si>
  <si>
    <t>Vehicle Type</t>
  </si>
  <si>
    <t>PCU factor</t>
  </si>
  <si>
    <t>Two Wheeler</t>
  </si>
  <si>
    <t>Three Wheeler (Auto Rickshaw)</t>
  </si>
  <si>
    <t>Mini Bus, School Bus</t>
  </si>
  <si>
    <t>Standard Bus (Govt. &amp; Private)</t>
  </si>
  <si>
    <t>Mini LCV</t>
  </si>
  <si>
    <t>Light Commercial Vehicle (LCV)</t>
  </si>
  <si>
    <t>2-Axle Truck (2-AT)</t>
  </si>
  <si>
    <t>3-Axle Truck (3-AT)</t>
  </si>
  <si>
    <t>Multi Axle Vehicle (MAV)</t>
  </si>
  <si>
    <t>Agriculture Tractor</t>
  </si>
  <si>
    <t>Agriculture Tractor with Trailer</t>
  </si>
  <si>
    <t>Earth Moving Equipment &amp; Highway Construction Machinery (EME &amp; HCM)</t>
  </si>
  <si>
    <t>Cycle-Rickshaw</t>
  </si>
  <si>
    <t>Animal Drawn Cart</t>
  </si>
  <si>
    <t>Non- Motorized</t>
  </si>
  <si>
    <t>Non-Motorized</t>
  </si>
  <si>
    <t> Traffic (ADT)</t>
  </si>
  <si>
    <t>Location</t>
  </si>
  <si>
    <t>Base Year</t>
  </si>
  <si>
    <t>BUS</t>
  </si>
  <si>
    <t>2 Axle Truck</t>
  </si>
  <si>
    <t>3 Axle Truck</t>
  </si>
  <si>
    <t>Oversized vehicles</t>
  </si>
  <si>
    <t> Traffic (AADT)</t>
  </si>
  <si>
    <t xml:space="preserve">Day wise summary, ADT </t>
  </si>
  <si>
    <t>Day-1</t>
  </si>
  <si>
    <t>Day-2</t>
  </si>
  <si>
    <t>Day-3</t>
  </si>
  <si>
    <t>Day-4</t>
  </si>
  <si>
    <t>Day-5</t>
  </si>
  <si>
    <t>Day-6</t>
  </si>
  <si>
    <t>Day-7</t>
  </si>
  <si>
    <r>
      <t xml:space="preserve">#The field data and day wise summary of classified volume count surveys are given in </t>
    </r>
    <r>
      <rPr>
        <b/>
        <sz val="10"/>
        <rFont val="Calibri"/>
        <family val="2"/>
        <scheme val="minor"/>
      </rPr>
      <t>ANNEXURE-1</t>
    </r>
  </si>
  <si>
    <t>Non - Motorized</t>
  </si>
  <si>
    <t>Day- 2</t>
  </si>
  <si>
    <t>Seven days Volume Count</t>
  </si>
  <si>
    <t>Type of Vehicles</t>
  </si>
  <si>
    <t>Volume</t>
  </si>
  <si>
    <t>Summary of ADT</t>
  </si>
  <si>
    <t>Percentage</t>
  </si>
  <si>
    <t>Vehicular Composition</t>
  </si>
  <si>
    <t>Summary of AADT</t>
  </si>
  <si>
    <t>S No</t>
  </si>
  <si>
    <t>Chainage</t>
  </si>
  <si>
    <t>% age</t>
  </si>
  <si>
    <t>Peak hour percentage</t>
  </si>
  <si>
    <t>Day wise Summary, ADT &amp; AADT</t>
  </si>
  <si>
    <t>Road No</t>
  </si>
  <si>
    <t>S.no</t>
  </si>
  <si>
    <t>Direction</t>
  </si>
  <si>
    <t xml:space="preserve">Location: </t>
  </si>
  <si>
    <t>Date:</t>
  </si>
  <si>
    <t xml:space="preserve">Direction : </t>
  </si>
  <si>
    <t>Ranasthalam to Anandapuram</t>
  </si>
  <si>
    <t>Direction :</t>
  </si>
  <si>
    <t>Anandapuram to Ranasthalam</t>
  </si>
  <si>
    <t xml:space="preserve">Direction </t>
  </si>
  <si>
    <t>Location: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</si>
  <si>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</si>
  <si>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</si>
  <si>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</si>
  <si>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</si>
  <si>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</si>
  <si>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</si>
  <si>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</si>
  <si>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</si>
  <si>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</si>
  <si>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</si>
  <si>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</si>
  <si>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23:00-00:00</t>
  </si>
  <si>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</si>
  <si>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</si>
  <si>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</si>
  <si>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</si>
  <si>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</si>
  <si>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</si>
  <si>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</si>
  <si>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</si>
  <si>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08:00-09:00</t>
  </si>
  <si>
    <t>09:00-10:00</t>
  </si>
  <si>
    <t>10:00-11:00</t>
  </si>
  <si>
    <t>11:00-12:00</t>
  </si>
  <si>
    <t>Ranasthalam Toll Plaza</t>
  </si>
  <si>
    <t xml:space="preserve">Location:            </t>
  </si>
  <si>
    <t>Direction :Ranasthalam to Anandapuram</t>
  </si>
  <si>
    <t xml:space="preserve">Location:                             </t>
  </si>
  <si>
    <t>Direction : Anandapuram to Ranasthalam</t>
  </si>
  <si>
    <t xml:space="preserve">Location:                          </t>
  </si>
  <si>
    <t>Nathavalasa Toll Plaza</t>
  </si>
  <si>
    <t>NH-16</t>
  </si>
  <si>
    <t>656+700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</si>
</sst>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000000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color indexed="8"/>
      <name val="Times New Roman"/>
      <family val="1"/>
    </font>
    <font>
      <sz val="9"/>
      <name val="Arial"/>
      <family val="2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9C3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0"/>
      </top>
      <bottom style="thin">
        <color indexed="0"/>
      </bottom>
      <diagonal/>
    </border>
  </borders>
  <cellStyleXfs count="56">
    <xf numFmtId="0" fontId="0" fillId="0" borderId="0"/>
    <xf numFmtId="9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17" applyNumberFormat="0" applyFill="0" applyAlignment="0" applyProtection="0"/>
    <xf numFmtId="0" fontId="12" fillId="0" borderId="18" applyNumberFormat="0" applyFill="0" applyAlignment="0" applyProtection="0"/>
    <xf numFmtId="0" fontId="13" fillId="0" borderId="19" applyNumberFormat="0" applyFill="0" applyAlignment="0" applyProtection="0"/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20" applyNumberFormat="0" applyAlignment="0" applyProtection="0"/>
    <xf numFmtId="0" fontId="18" fillId="9" borderId="21" applyNumberFormat="0" applyAlignment="0" applyProtection="0"/>
    <xf numFmtId="0" fontId="19" fillId="9" borderId="20" applyNumberFormat="0" applyAlignment="0" applyProtection="0"/>
    <xf numFmtId="0" fontId="20" fillId="0" borderId="22" applyNumberFormat="0" applyFill="0" applyAlignment="0" applyProtection="0"/>
    <xf numFmtId="0" fontId="21" fillId="10" borderId="23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25" applyNumberFormat="0" applyFill="0" applyAlignment="0" applyProtection="0"/>
    <xf numFmtId="0" fontId="25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5" fillId="35" borderId="0" applyNumberFormat="0" applyBorder="0" applyAlignment="0" applyProtection="0"/>
    <xf numFmtId="0" fontId="2" fillId="11" borderId="24" applyNumberFormat="0" applyFont="0" applyAlignment="0" applyProtection="0"/>
    <xf numFmtId="0" fontId="1" fillId="11" borderId="24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</cellStyleXfs>
  <cellXfs count="211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3" fillId="0" borderId="4" xfId="0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Fill="1" applyBorder="1" applyAlignment="1">
      <alignment horizontal="center" vertical="center"/>
    </xf>
    <xf numFmtId="1" fontId="3" fillId="0" borderId="0" xfId="0" applyNumberFormat="1" applyFont="1"/>
    <xf numFmtId="10" fontId="3" fillId="0" borderId="0" xfId="0" applyNumberFormat="1" applyFont="1"/>
    <xf numFmtId="1" fontId="3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1" fontId="4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 wrapText="1"/>
    </xf>
    <xf numFmtId="10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0" xfId="0" applyFont="1" applyFill="1" applyBorder="1"/>
    <xf numFmtId="0" fontId="4" fillId="3" borderId="4" xfId="0" applyFont="1" applyFill="1" applyBorder="1" applyAlignment="1">
      <alignment horizontal="center"/>
    </xf>
    <xf numFmtId="1" fontId="4" fillId="3" borderId="4" xfId="0" applyNumberFormat="1" applyFont="1" applyFill="1" applyBorder="1" applyAlignment="1">
      <alignment horizontal="center"/>
    </xf>
    <xf numFmtId="1" fontId="4" fillId="2" borderId="13" xfId="0" applyNumberFormat="1" applyFont="1" applyFill="1" applyBorder="1" applyAlignment="1">
      <alignment horizontal="left" vertical="center"/>
    </xf>
    <xf numFmtId="164" fontId="4" fillId="2" borderId="14" xfId="0" applyNumberFormat="1" applyFont="1" applyFill="1" applyBorder="1" applyAlignment="1">
      <alignment horizontal="left" vertical="center"/>
    </xf>
    <xf numFmtId="164" fontId="4" fillId="0" borderId="14" xfId="0" applyNumberFormat="1" applyFont="1" applyFill="1" applyBorder="1" applyAlignment="1">
      <alignment vertical="center"/>
    </xf>
    <xf numFmtId="1" fontId="4" fillId="0" borderId="14" xfId="0" applyNumberFormat="1" applyFont="1" applyFill="1" applyBorder="1" applyAlignment="1">
      <alignment vertical="center"/>
    </xf>
    <xf numFmtId="1" fontId="4" fillId="0" borderId="15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horizontal="left" vertical="center"/>
    </xf>
    <xf numFmtId="164" fontId="4" fillId="2" borderId="5" xfId="0" applyNumberFormat="1" applyFont="1" applyFill="1" applyBorder="1" applyAlignment="1">
      <alignment horizontal="left" vertical="center"/>
    </xf>
    <xf numFmtId="164" fontId="4" fillId="0" borderId="4" xfId="0" applyNumberFormat="1" applyFont="1" applyFill="1" applyBorder="1" applyAlignment="1">
      <alignment vertical="center"/>
    </xf>
    <xf numFmtId="1" fontId="4" fillId="0" borderId="6" xfId="0" applyNumberFormat="1" applyFont="1" applyFill="1" applyBorder="1" applyAlignment="1">
      <alignment vertical="center"/>
    </xf>
    <xf numFmtId="1" fontId="4" fillId="0" borderId="7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textRotation="90" wrapText="1"/>
    </xf>
    <xf numFmtId="0" fontId="5" fillId="3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" fontId="4" fillId="2" borderId="0" xfId="0" applyNumberFormat="1" applyFont="1" applyFill="1" applyBorder="1" applyAlignment="1">
      <alignment horizontal="left" vertical="center"/>
    </xf>
    <xf numFmtId="164" fontId="4" fillId="2" borderId="5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0" fontId="7" fillId="0" borderId="0" xfId="0" applyNumberFormat="1" applyFont="1"/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164" fontId="4" fillId="2" borderId="14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" fontId="7" fillId="0" borderId="0" xfId="0" applyNumberFormat="1" applyFont="1" applyAlignment="1">
      <alignment horizontal="left"/>
    </xf>
    <xf numFmtId="10" fontId="7" fillId="0" borderId="0" xfId="1" applyNumberFormat="1" applyFont="1" applyAlignment="1">
      <alignment horizontal="left"/>
    </xf>
    <xf numFmtId="0" fontId="3" fillId="0" borderId="16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1" fontId="27" fillId="0" borderId="4" xfId="0" applyNumberFormat="1" applyFont="1" applyBorder="1" applyAlignment="1">
      <alignment horizontal="center" vertical="center"/>
    </xf>
    <xf numFmtId="0" fontId="26" fillId="36" borderId="4" xfId="0" applyFont="1" applyFill="1" applyBorder="1" applyAlignment="1">
      <alignment horizontal="center" vertical="center" wrapText="1"/>
    </xf>
    <xf numFmtId="0" fontId="26" fillId="37" borderId="4" xfId="0" applyFont="1" applyFill="1" applyBorder="1" applyAlignment="1">
      <alignment horizontal="center" vertical="center" textRotation="90" wrapText="1"/>
    </xf>
    <xf numFmtId="0" fontId="31" fillId="0" borderId="4" xfId="0" applyFont="1" applyBorder="1" applyAlignment="1">
      <alignment horizontal="center" vertical="center"/>
    </xf>
    <xf numFmtId="10" fontId="31" fillId="0" borderId="4" xfId="0" applyNumberFormat="1" applyFont="1" applyBorder="1" applyAlignment="1">
      <alignment horizontal="center" vertical="center"/>
    </xf>
    <xf numFmtId="0" fontId="32" fillId="36" borderId="4" xfId="0" applyFont="1" applyFill="1" applyBorder="1" applyAlignment="1">
      <alignment horizontal="center" vertical="center"/>
    </xf>
    <xf numFmtId="0" fontId="29" fillId="36" borderId="4" xfId="0" applyFont="1" applyFill="1" applyBorder="1" applyAlignment="1">
      <alignment horizontal="center" vertical="center"/>
    </xf>
    <xf numFmtId="0" fontId="30" fillId="0" borderId="4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2" fillId="36" borderId="4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" fontId="30" fillId="0" borderId="4" xfId="0" applyNumberFormat="1" applyFont="1" applyBorder="1" applyAlignment="1">
      <alignment horizontal="center" vertical="center" wrapText="1"/>
    </xf>
    <xf numFmtId="10" fontId="30" fillId="0" borderId="4" xfId="0" applyNumberFormat="1" applyFont="1" applyBorder="1" applyAlignment="1">
      <alignment horizontal="center" vertical="center" wrapText="1"/>
    </xf>
    <xf numFmtId="1" fontId="31" fillId="0" borderId="4" xfId="0" applyNumberFormat="1" applyFont="1" applyBorder="1" applyAlignment="1">
      <alignment horizontal="center" vertical="center"/>
    </xf>
    <xf numFmtId="1" fontId="29" fillId="0" borderId="4" xfId="0" applyNumberFormat="1" applyFont="1" applyBorder="1" applyAlignment="1">
      <alignment horizontal="center" vertical="center"/>
    </xf>
    <xf numFmtId="1" fontId="30" fillId="0" borderId="4" xfId="0" applyNumberFormat="1" applyFont="1" applyBorder="1" applyAlignment="1">
      <alignment horizontal="center" vertical="center"/>
    </xf>
    <xf numFmtId="1" fontId="32" fillId="0" borderId="4" xfId="0" applyNumberFormat="1" applyFont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10" fontId="31" fillId="0" borderId="0" xfId="0" applyNumberFormat="1" applyFont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0" fontId="31" fillId="0" borderId="0" xfId="0" applyFont="1" applyFill="1" applyBorder="1" applyAlignment="1">
      <alignment vertical="center"/>
    </xf>
    <xf numFmtId="0" fontId="0" fillId="0" borderId="0" xfId="0" applyFill="1" applyBorder="1" applyAlignment="1"/>
    <xf numFmtId="0" fontId="0" fillId="0" borderId="0" xfId="0" applyFill="1" applyBorder="1"/>
    <xf numFmtId="0" fontId="34" fillId="0" borderId="4" xfId="0" applyFont="1" applyFill="1" applyBorder="1" applyAlignment="1">
      <alignment horizontal="center" vertical="center" wrapText="1"/>
    </xf>
    <xf numFmtId="1" fontId="4" fillId="3" borderId="4" xfId="0" applyNumberFormat="1" applyFont="1" applyFill="1" applyBorder="1" applyAlignment="1">
      <alignment horizontal="center" vertical="center"/>
    </xf>
    <xf numFmtId="0" fontId="4" fillId="38" borderId="2" xfId="0" applyFont="1" applyFill="1" applyBorder="1" applyAlignment="1">
      <alignment horizontal="center" vertical="center"/>
    </xf>
    <xf numFmtId="1" fontId="4" fillId="38" borderId="2" xfId="0" applyNumberFormat="1" applyFont="1" applyFill="1" applyBorder="1" applyAlignment="1">
      <alignment horizontal="center" vertical="center"/>
    </xf>
    <xf numFmtId="1" fontId="4" fillId="38" borderId="3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0" fontId="3" fillId="39" borderId="2" xfId="0" applyFont="1" applyFill="1" applyBorder="1" applyAlignment="1">
      <alignment horizontal="center" vertical="center" wrapText="1"/>
    </xf>
    <xf numFmtId="1" fontId="3" fillId="39" borderId="2" xfId="0" applyNumberFormat="1" applyFont="1" applyFill="1" applyBorder="1" applyAlignment="1">
      <alignment horizontal="center" vertical="center"/>
    </xf>
    <xf numFmtId="1" fontId="3" fillId="39" borderId="3" xfId="0" applyNumberFormat="1" applyFont="1" applyFill="1" applyBorder="1" applyAlignment="1">
      <alignment horizontal="center" vertical="center"/>
    </xf>
    <xf numFmtId="0" fontId="29" fillId="36" borderId="4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35" fillId="0" borderId="4" xfId="0" applyFont="1" applyBorder="1" applyAlignment="1">
      <alignment horizontal="center" vertical="center"/>
    </xf>
    <xf numFmtId="0" fontId="3" fillId="0" borderId="0" xfId="0" applyNumberFormat="1" applyFont="1"/>
    <xf numFmtId="0" fontId="4" fillId="3" borderId="4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0" xfId="0" applyFont="1" applyFill="1"/>
    <xf numFmtId="0" fontId="4" fillId="3" borderId="4" xfId="0" applyFont="1" applyFill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6" fillId="0" borderId="4" xfId="0" applyFont="1" applyFill="1" applyBorder="1" applyAlignment="1">
      <alignment horizontal="center" vertical="center"/>
    </xf>
    <xf numFmtId="0" fontId="4" fillId="40" borderId="2" xfId="0" applyFont="1" applyFill="1" applyBorder="1" applyAlignment="1">
      <alignment horizontal="center" vertical="center" wrapText="1"/>
    </xf>
    <xf numFmtId="0" fontId="4" fillId="40" borderId="4" xfId="0" applyFont="1" applyFill="1" applyBorder="1" applyAlignment="1">
      <alignment horizontal="center" vertical="center"/>
    </xf>
    <xf numFmtId="0" fontId="4" fillId="40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2" fillId="36" borderId="26" xfId="0" applyFont="1" applyFill="1" applyBorder="1" applyAlignment="1">
      <alignment horizontal="center" vertical="center" wrapText="1"/>
    </xf>
    <xf numFmtId="0" fontId="32" fillId="37" borderId="27" xfId="0" applyFont="1" applyFill="1" applyBorder="1" applyAlignment="1">
      <alignment horizontal="center" vertical="center" textRotation="90" wrapText="1"/>
    </xf>
    <xf numFmtId="0" fontId="0" fillId="0" borderId="33" xfId="0" applyBorder="1" applyAlignment="1"/>
    <xf numFmtId="0" fontId="0" fillId="0" borderId="34" xfId="0" applyBorder="1" applyAlignment="1"/>
    <xf numFmtId="0" fontId="0" fillId="0" borderId="13" xfId="0" applyBorder="1" applyAlignment="1"/>
    <xf numFmtId="0" fontId="0" fillId="0" borderId="15" xfId="0" applyBorder="1" applyAlignment="1"/>
    <xf numFmtId="0" fontId="0" fillId="0" borderId="0" xfId="0" applyBorder="1"/>
    <xf numFmtId="1" fontId="31" fillId="0" borderId="28" xfId="0" applyNumberFormat="1" applyFont="1" applyBorder="1" applyAlignment="1">
      <alignment horizontal="center" vertical="center"/>
    </xf>
    <xf numFmtId="1" fontId="31" fillId="0" borderId="29" xfId="0" applyNumberFormat="1" applyFont="1" applyBorder="1" applyAlignment="1">
      <alignment horizontal="center" vertical="center"/>
    </xf>
    <xf numFmtId="1" fontId="6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37" fillId="0" borderId="35" xfId="0" applyFont="1" applyBorder="1" applyAlignment="1">
      <alignment horizontal="center" vertical="center"/>
    </xf>
    <xf numFmtId="0" fontId="37" fillId="41" borderId="35" xfId="0" applyFont="1" applyFill="1" applyBorder="1" applyAlignment="1">
      <alignment horizontal="center" vertical="center"/>
    </xf>
    <xf numFmtId="0" fontId="37" fillId="0" borderId="35" xfId="0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vertical="center"/>
    </xf>
    <xf numFmtId="1" fontId="4" fillId="2" borderId="12" xfId="0" applyNumberFormat="1" applyFont="1" applyFill="1" applyBorder="1" applyAlignment="1">
      <alignment vertical="center"/>
    </xf>
    <xf numFmtId="1" fontId="4" fillId="2" borderId="13" xfId="0" applyNumberFormat="1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9" fontId="3" fillId="0" borderId="0" xfId="1" applyFont="1" applyAlignment="1">
      <alignment horizontal="center" vertical="center"/>
    </xf>
    <xf numFmtId="9" fontId="31" fillId="0" borderId="4" xfId="1" applyFont="1" applyBorder="1" applyAlignment="1">
      <alignment horizontal="center"/>
    </xf>
    <xf numFmtId="0" fontId="5" fillId="3" borderId="4" xfId="0" applyFont="1" applyFill="1" applyBorder="1" applyAlignment="1">
      <alignment vertical="center" textRotation="90" wrapText="1"/>
    </xf>
    <xf numFmtId="1" fontId="4" fillId="2" borderId="4" xfId="0" applyNumberFormat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" fontId="4" fillId="2" borderId="13" xfId="0" applyNumberFormat="1" applyFont="1" applyFill="1" applyBorder="1" applyAlignment="1">
      <alignment horizontal="left" vertical="center"/>
    </xf>
    <xf numFmtId="1" fontId="4" fillId="2" borderId="14" xfId="0" applyNumberFormat="1" applyFont="1" applyFill="1" applyBorder="1" applyAlignment="1">
      <alignment horizontal="left" vertical="center"/>
    </xf>
    <xf numFmtId="1" fontId="4" fillId="2" borderId="15" xfId="0" applyNumberFormat="1" applyFont="1" applyFill="1" applyBorder="1" applyAlignment="1">
      <alignment horizontal="left" vertical="center"/>
    </xf>
    <xf numFmtId="14" fontId="4" fillId="2" borderId="13" xfId="0" applyNumberFormat="1" applyFont="1" applyFill="1" applyBorder="1" applyAlignment="1">
      <alignment horizontal="left" vertical="center"/>
    </xf>
    <xf numFmtId="0" fontId="4" fillId="2" borderId="14" xfId="0" applyNumberFormat="1" applyFont="1" applyFill="1" applyBorder="1" applyAlignment="1">
      <alignment horizontal="left" vertical="center"/>
    </xf>
    <xf numFmtId="0" fontId="4" fillId="2" borderId="15" xfId="0" applyNumberFormat="1" applyFont="1" applyFill="1" applyBorder="1" applyAlignment="1">
      <alignment horizontal="left" vertical="center"/>
    </xf>
    <xf numFmtId="1" fontId="4" fillId="2" borderId="13" xfId="0" applyNumberFormat="1" applyFont="1" applyFill="1" applyBorder="1" applyAlignment="1">
      <alignment horizontal="center" vertical="center"/>
    </xf>
    <xf numFmtId="1" fontId="4" fillId="2" borderId="14" xfId="0" applyNumberFormat="1" applyFont="1" applyFill="1" applyBorder="1" applyAlignment="1">
      <alignment horizontal="center" vertical="center"/>
    </xf>
    <xf numFmtId="1" fontId="4" fillId="2" borderId="15" xfId="0" applyNumberFormat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14" fontId="4" fillId="2" borderId="14" xfId="0" applyNumberFormat="1" applyFont="1" applyFill="1" applyBorder="1" applyAlignment="1">
      <alignment horizontal="left" vertical="center"/>
    </xf>
    <xf numFmtId="14" fontId="4" fillId="2" borderId="15" xfId="0" applyNumberFormat="1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1" fontId="4" fillId="2" borderId="12" xfId="0" applyNumberFormat="1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" fontId="32" fillId="0" borderId="4" xfId="0" applyNumberFormat="1" applyFont="1" applyBorder="1" applyAlignment="1">
      <alignment horizontal="center" vertical="center"/>
    </xf>
    <xf numFmtId="0" fontId="28" fillId="0" borderId="9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 wrapText="1"/>
    </xf>
    <xf numFmtId="1" fontId="29" fillId="0" borderId="4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32" fillId="36" borderId="13" xfId="0" applyFont="1" applyFill="1" applyBorder="1" applyAlignment="1">
      <alignment horizontal="center" vertical="center" wrapText="1"/>
    </xf>
    <xf numFmtId="0" fontId="32" fillId="36" borderId="14" xfId="0" applyFont="1" applyFill="1" applyBorder="1" applyAlignment="1">
      <alignment horizontal="center" vertical="center" wrapText="1"/>
    </xf>
    <xf numFmtId="0" fontId="32" fillId="36" borderId="15" xfId="0" applyFont="1" applyFill="1" applyBorder="1" applyAlignment="1">
      <alignment horizontal="center" vertical="center" wrapText="1"/>
    </xf>
    <xf numFmtId="0" fontId="32" fillId="36" borderId="12" xfId="0" applyFont="1" applyFill="1" applyBorder="1" applyAlignment="1">
      <alignment horizontal="center" vertical="center" wrapText="1"/>
    </xf>
    <xf numFmtId="0" fontId="32" fillId="36" borderId="11" xfId="0" applyFont="1" applyFill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/>
    </xf>
    <xf numFmtId="1" fontId="29" fillId="0" borderId="30" xfId="0" applyNumberFormat="1" applyFont="1" applyBorder="1" applyAlignment="1">
      <alignment horizontal="center" vertical="center"/>
    </xf>
    <xf numFmtId="1" fontId="29" fillId="0" borderId="31" xfId="0" applyNumberFormat="1" applyFont="1" applyBorder="1" applyAlignment="1">
      <alignment horizontal="center" vertical="center"/>
    </xf>
    <xf numFmtId="1" fontId="29" fillId="0" borderId="27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2" fillId="36" borderId="30" xfId="0" applyFont="1" applyFill="1" applyBorder="1" applyAlignment="1">
      <alignment horizontal="center" vertical="center" wrapText="1"/>
    </xf>
    <xf numFmtId="0" fontId="32" fillId="36" borderId="27" xfId="0" applyFont="1" applyFill="1" applyBorder="1" applyAlignment="1">
      <alignment horizontal="center" vertical="center" wrapText="1"/>
    </xf>
  </cellXfs>
  <cellStyles count="56">
    <cellStyle name="20% - Accent1" xfId="19" builtinId="30" customBuiltin="1"/>
    <cellStyle name="20% - Accent1 2" xfId="44"/>
    <cellStyle name="20% - Accent2" xfId="23" builtinId="34" customBuiltin="1"/>
    <cellStyle name="20% - Accent2 2" xfId="46"/>
    <cellStyle name="20% - Accent3" xfId="27" builtinId="38" customBuiltin="1"/>
    <cellStyle name="20% - Accent3 2" xfId="48"/>
    <cellStyle name="20% - Accent4" xfId="31" builtinId="42" customBuiltin="1"/>
    <cellStyle name="20% - Accent4 2" xfId="50"/>
    <cellStyle name="20% - Accent5" xfId="35" builtinId="46" customBuiltin="1"/>
    <cellStyle name="20% - Accent5 2" xfId="52"/>
    <cellStyle name="20% - Accent6" xfId="39" builtinId="50" customBuiltin="1"/>
    <cellStyle name="20% - Accent6 2" xfId="54"/>
    <cellStyle name="40% - Accent1" xfId="20" builtinId="31" customBuiltin="1"/>
    <cellStyle name="40% - Accent1 2" xfId="45"/>
    <cellStyle name="40% - Accent2" xfId="24" builtinId="35" customBuiltin="1"/>
    <cellStyle name="40% - Accent2 2" xfId="47"/>
    <cellStyle name="40% - Accent3" xfId="28" builtinId="39" customBuiltin="1"/>
    <cellStyle name="40% - Accent3 2" xfId="49"/>
    <cellStyle name="40% - Accent4" xfId="32" builtinId="43" customBuiltin="1"/>
    <cellStyle name="40% - Accent4 2" xfId="51"/>
    <cellStyle name="40% - Accent5" xfId="36" builtinId="47" customBuiltin="1"/>
    <cellStyle name="40% - Accent5 2" xfId="53"/>
    <cellStyle name="40% - Accent6" xfId="40" builtinId="51" customBuiltin="1"/>
    <cellStyle name="40% - Accent6 2" xfId="55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 customBuiltin="1"/>
    <cellStyle name="Note 2" xfId="42"/>
    <cellStyle name="Note 3" xfId="43"/>
    <cellStyle name="Output" xfId="11" builtinId="21" customBuiltin="1"/>
    <cellStyle name="Percent" xfId="1" builtinId="5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Hourly Variation Of Traffic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9211006181993716E-2"/>
          <c:y val="0.14718487258400983"/>
          <c:w val="0.8552278632024064"/>
          <c:h val="0.47939381486686061"/>
        </c:manualLayout>
      </c:layout>
      <c:lineChart>
        <c:grouping val="standard"/>
        <c:varyColors val="0"/>
        <c:ser>
          <c:idx val="0"/>
          <c:order val="0"/>
          <c:tx>
            <c:strRef>
              <c:f>Charts!$B$30</c:f>
              <c:strCache>
                <c:ptCount val="1"/>
                <c:pt idx="0">
                  <c:v>Passenger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12:00-13:00</c:v>
                </c:pt>
                <c:pt idx="1">
                  <c:v>13:00-14:00</c:v>
                </c:pt>
                <c:pt idx="2">
                  <c:v>14:00-15:00</c:v>
                </c:pt>
                <c:pt idx="3">
                  <c:v>15:00-16:00</c:v>
                </c:pt>
                <c:pt idx="4">
                  <c:v>16:00-17:00</c:v>
                </c:pt>
                <c:pt idx="5">
                  <c:v>17:00-18:00</c:v>
                </c:pt>
                <c:pt idx="6">
                  <c:v>18:00-19:00</c:v>
                </c:pt>
                <c:pt idx="7">
                  <c:v>19:00-20:00</c:v>
                </c:pt>
                <c:pt idx="8">
                  <c:v>20:00-21:00</c:v>
                </c:pt>
                <c:pt idx="9">
                  <c:v>21:00-22:00</c:v>
                </c:pt>
                <c:pt idx="10">
                  <c:v>22:00-23:00</c:v>
                </c:pt>
                <c:pt idx="11">
                  <c:v>23:00-00:00</c:v>
                </c:pt>
                <c:pt idx="12">
                  <c:v>00:00-01:00</c:v>
                </c:pt>
                <c:pt idx="13">
                  <c:v>01:00-02:00</c:v>
                </c:pt>
                <c:pt idx="14">
                  <c:v>02:00-03:00</c:v>
                </c:pt>
                <c:pt idx="15">
                  <c:v>03:00-04:00</c:v>
                </c:pt>
                <c:pt idx="16">
                  <c:v>04:00-05:00</c:v>
                </c:pt>
                <c:pt idx="17">
                  <c:v>05:00-06:00</c:v>
                </c:pt>
                <c:pt idx="18">
                  <c:v>06:00-07:00</c:v>
                </c:pt>
                <c:pt idx="19">
                  <c:v>07:00-08:00</c:v>
                </c:pt>
                <c:pt idx="20">
                  <c:v>08:00-09:00</c:v>
                </c:pt>
                <c:pt idx="21">
                  <c:v>09:00-10:00</c:v>
                </c:pt>
                <c:pt idx="22">
                  <c:v>10:00-11:00</c:v>
                </c:pt>
                <c:pt idx="23">
                  <c:v>11:00-12:00</c:v>
                </c:pt>
              </c:strCache>
            </c:strRef>
          </c:cat>
          <c:val>
            <c:numRef>
              <c:f>Charts!$B$31:$B$54</c:f>
              <c:numCache>
                <c:formatCode>0</c:formatCode>
                <c:ptCount val="24"/>
                <c:pt idx="0">
                  <c:v>782.42857142857133</c:v>
                </c:pt>
                <c:pt idx="1">
                  <c:v>711.28571428571422</c:v>
                </c:pt>
                <c:pt idx="2">
                  <c:v>754.57142857142867</c:v>
                </c:pt>
                <c:pt idx="3">
                  <c:v>904.57142857142867</c:v>
                </c:pt>
                <c:pt idx="4">
                  <c:v>1003.4285714285713</c:v>
                </c:pt>
                <c:pt idx="5">
                  <c:v>1029.8571428571427</c:v>
                </c:pt>
                <c:pt idx="6">
                  <c:v>967.57142857142867</c:v>
                </c:pt>
                <c:pt idx="7">
                  <c:v>791.14285714285711</c:v>
                </c:pt>
                <c:pt idx="8">
                  <c:v>609.42857142857144</c:v>
                </c:pt>
                <c:pt idx="9">
                  <c:v>435.42857142857144</c:v>
                </c:pt>
                <c:pt idx="10">
                  <c:v>270.28571428571428</c:v>
                </c:pt>
                <c:pt idx="11">
                  <c:v>164.14285714285714</c:v>
                </c:pt>
                <c:pt idx="12">
                  <c:v>92.000000000000014</c:v>
                </c:pt>
                <c:pt idx="13">
                  <c:v>66.142857142857139</c:v>
                </c:pt>
                <c:pt idx="14">
                  <c:v>59</c:v>
                </c:pt>
                <c:pt idx="15">
                  <c:v>94</c:v>
                </c:pt>
                <c:pt idx="16">
                  <c:v>161.85714285714286</c:v>
                </c:pt>
                <c:pt idx="17">
                  <c:v>346.71428571428578</c:v>
                </c:pt>
                <c:pt idx="18">
                  <c:v>549.42857142857133</c:v>
                </c:pt>
                <c:pt idx="19">
                  <c:v>782.71428571428578</c:v>
                </c:pt>
                <c:pt idx="20">
                  <c:v>1034.4285714285716</c:v>
                </c:pt>
                <c:pt idx="21">
                  <c:v>1108.1428571428571</c:v>
                </c:pt>
                <c:pt idx="22">
                  <c:v>1035.2857142857142</c:v>
                </c:pt>
                <c:pt idx="23">
                  <c:v>962.14285714285711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Charts!$C$30</c:f>
              <c:strCache>
                <c:ptCount val="1"/>
                <c:pt idx="0">
                  <c:v>Freight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12:00-13:00</c:v>
                </c:pt>
                <c:pt idx="1">
                  <c:v>13:00-14:00</c:v>
                </c:pt>
                <c:pt idx="2">
                  <c:v>14:00-15:00</c:v>
                </c:pt>
                <c:pt idx="3">
                  <c:v>15:00-16:00</c:v>
                </c:pt>
                <c:pt idx="4">
                  <c:v>16:00-17:00</c:v>
                </c:pt>
                <c:pt idx="5">
                  <c:v>17:00-18:00</c:v>
                </c:pt>
                <c:pt idx="6">
                  <c:v>18:00-19:00</c:v>
                </c:pt>
                <c:pt idx="7">
                  <c:v>19:00-20:00</c:v>
                </c:pt>
                <c:pt idx="8">
                  <c:v>20:00-21:00</c:v>
                </c:pt>
                <c:pt idx="9">
                  <c:v>21:00-22:00</c:v>
                </c:pt>
                <c:pt idx="10">
                  <c:v>22:00-23:00</c:v>
                </c:pt>
                <c:pt idx="11">
                  <c:v>23:00-00:00</c:v>
                </c:pt>
                <c:pt idx="12">
                  <c:v>00:00-01:00</c:v>
                </c:pt>
                <c:pt idx="13">
                  <c:v>01:00-02:00</c:v>
                </c:pt>
                <c:pt idx="14">
                  <c:v>02:00-03:00</c:v>
                </c:pt>
                <c:pt idx="15">
                  <c:v>03:00-04:00</c:v>
                </c:pt>
                <c:pt idx="16">
                  <c:v>04:00-05:00</c:v>
                </c:pt>
                <c:pt idx="17">
                  <c:v>05:00-06:00</c:v>
                </c:pt>
                <c:pt idx="18">
                  <c:v>06:00-07:00</c:v>
                </c:pt>
                <c:pt idx="19">
                  <c:v>07:00-08:00</c:v>
                </c:pt>
                <c:pt idx="20">
                  <c:v>08:00-09:00</c:v>
                </c:pt>
                <c:pt idx="21">
                  <c:v>09:00-10:00</c:v>
                </c:pt>
                <c:pt idx="22">
                  <c:v>10:00-11:00</c:v>
                </c:pt>
                <c:pt idx="23">
                  <c:v>11:00-12:00</c:v>
                </c:pt>
              </c:strCache>
            </c:strRef>
          </c:cat>
          <c:val>
            <c:numRef>
              <c:f>Charts!$C$31:$C$54</c:f>
              <c:numCache>
                <c:formatCode>0</c:formatCode>
                <c:ptCount val="24"/>
                <c:pt idx="0">
                  <c:v>292.71428571428572</c:v>
                </c:pt>
                <c:pt idx="1">
                  <c:v>276.99999999999994</c:v>
                </c:pt>
                <c:pt idx="2">
                  <c:v>284</c:v>
                </c:pt>
                <c:pt idx="3">
                  <c:v>319.42857142857144</c:v>
                </c:pt>
                <c:pt idx="4">
                  <c:v>308.71428571428567</c:v>
                </c:pt>
                <c:pt idx="5">
                  <c:v>329.71428571428572</c:v>
                </c:pt>
                <c:pt idx="6">
                  <c:v>335.57142857142861</c:v>
                </c:pt>
                <c:pt idx="7">
                  <c:v>321.5714285714285</c:v>
                </c:pt>
                <c:pt idx="8">
                  <c:v>321.42857142857133</c:v>
                </c:pt>
                <c:pt idx="9">
                  <c:v>321.57142857142861</c:v>
                </c:pt>
                <c:pt idx="10">
                  <c:v>318</c:v>
                </c:pt>
                <c:pt idx="11">
                  <c:v>292.57142857142856</c:v>
                </c:pt>
                <c:pt idx="12">
                  <c:v>285.57142857142856</c:v>
                </c:pt>
                <c:pt idx="13">
                  <c:v>258.57142857142856</c:v>
                </c:pt>
                <c:pt idx="14">
                  <c:v>240.85714285714286</c:v>
                </c:pt>
                <c:pt idx="15">
                  <c:v>239.42857142857142</c:v>
                </c:pt>
                <c:pt idx="16">
                  <c:v>257.28571428571428</c:v>
                </c:pt>
                <c:pt idx="17">
                  <c:v>301.14285714285717</c:v>
                </c:pt>
                <c:pt idx="18">
                  <c:v>309</c:v>
                </c:pt>
                <c:pt idx="19">
                  <c:v>303.71428571428567</c:v>
                </c:pt>
                <c:pt idx="20">
                  <c:v>311.28571428571428</c:v>
                </c:pt>
                <c:pt idx="21">
                  <c:v>327.71428571428567</c:v>
                </c:pt>
                <c:pt idx="22">
                  <c:v>347.42857142857139</c:v>
                </c:pt>
                <c:pt idx="23">
                  <c:v>339.85714285714289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Charts!$D$30</c:f>
              <c:strCache>
                <c:ptCount val="1"/>
                <c:pt idx="0">
                  <c:v>Total Fast Moving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12:00-13:00</c:v>
                </c:pt>
                <c:pt idx="1">
                  <c:v>13:00-14:00</c:v>
                </c:pt>
                <c:pt idx="2">
                  <c:v>14:00-15:00</c:v>
                </c:pt>
                <c:pt idx="3">
                  <c:v>15:00-16:00</c:v>
                </c:pt>
                <c:pt idx="4">
                  <c:v>16:00-17:00</c:v>
                </c:pt>
                <c:pt idx="5">
                  <c:v>17:00-18:00</c:v>
                </c:pt>
                <c:pt idx="6">
                  <c:v>18:00-19:00</c:v>
                </c:pt>
                <c:pt idx="7">
                  <c:v>19:00-20:00</c:v>
                </c:pt>
                <c:pt idx="8">
                  <c:v>20:00-21:00</c:v>
                </c:pt>
                <c:pt idx="9">
                  <c:v>21:00-22:00</c:v>
                </c:pt>
                <c:pt idx="10">
                  <c:v>22:00-23:00</c:v>
                </c:pt>
                <c:pt idx="11">
                  <c:v>23:00-00:00</c:v>
                </c:pt>
                <c:pt idx="12">
                  <c:v>00:00-01:00</c:v>
                </c:pt>
                <c:pt idx="13">
                  <c:v>01:00-02:00</c:v>
                </c:pt>
                <c:pt idx="14">
                  <c:v>02:00-03:00</c:v>
                </c:pt>
                <c:pt idx="15">
                  <c:v>03:00-04:00</c:v>
                </c:pt>
                <c:pt idx="16">
                  <c:v>04:00-05:00</c:v>
                </c:pt>
                <c:pt idx="17">
                  <c:v>05:00-06:00</c:v>
                </c:pt>
                <c:pt idx="18">
                  <c:v>06:00-07:00</c:v>
                </c:pt>
                <c:pt idx="19">
                  <c:v>07:00-08:00</c:v>
                </c:pt>
                <c:pt idx="20">
                  <c:v>08:00-09:00</c:v>
                </c:pt>
                <c:pt idx="21">
                  <c:v>09:00-10:00</c:v>
                </c:pt>
                <c:pt idx="22">
                  <c:v>10:00-11:00</c:v>
                </c:pt>
                <c:pt idx="23">
                  <c:v>11:00-12:00</c:v>
                </c:pt>
              </c:strCache>
            </c:strRef>
          </c:cat>
          <c:val>
            <c:numRef>
              <c:f>Charts!$D$31:$D$54</c:f>
              <c:numCache>
                <c:formatCode>0</c:formatCode>
                <c:ptCount val="24"/>
                <c:pt idx="0">
                  <c:v>1075.1428571428571</c:v>
                </c:pt>
                <c:pt idx="1">
                  <c:v>988.28571428571422</c:v>
                </c:pt>
                <c:pt idx="2">
                  <c:v>1038.5714285714287</c:v>
                </c:pt>
                <c:pt idx="3">
                  <c:v>1224</c:v>
                </c:pt>
                <c:pt idx="4">
                  <c:v>1312.1428571428569</c:v>
                </c:pt>
                <c:pt idx="5">
                  <c:v>1359.5714285714284</c:v>
                </c:pt>
                <c:pt idx="6">
                  <c:v>1303.1428571428573</c:v>
                </c:pt>
                <c:pt idx="7">
                  <c:v>1112.7142857142856</c:v>
                </c:pt>
                <c:pt idx="8">
                  <c:v>930.85714285714278</c:v>
                </c:pt>
                <c:pt idx="9">
                  <c:v>757</c:v>
                </c:pt>
                <c:pt idx="10">
                  <c:v>588.28571428571422</c:v>
                </c:pt>
                <c:pt idx="11">
                  <c:v>456.71428571428567</c:v>
                </c:pt>
                <c:pt idx="12">
                  <c:v>377.57142857142856</c:v>
                </c:pt>
                <c:pt idx="13">
                  <c:v>324.71428571428567</c:v>
                </c:pt>
                <c:pt idx="14">
                  <c:v>299.85714285714289</c:v>
                </c:pt>
                <c:pt idx="15">
                  <c:v>333.42857142857144</c:v>
                </c:pt>
                <c:pt idx="16">
                  <c:v>419.14285714285711</c:v>
                </c:pt>
                <c:pt idx="17">
                  <c:v>647.85714285714289</c:v>
                </c:pt>
                <c:pt idx="18">
                  <c:v>858.42857142857133</c:v>
                </c:pt>
                <c:pt idx="19">
                  <c:v>1086.4285714285716</c:v>
                </c:pt>
                <c:pt idx="20">
                  <c:v>1345.7142857142858</c:v>
                </c:pt>
                <c:pt idx="21">
                  <c:v>1435.8571428571427</c:v>
                </c:pt>
                <c:pt idx="22">
                  <c:v>1382.7142857142856</c:v>
                </c:pt>
                <c:pt idx="23">
                  <c:v>1302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Charts!$E$30</c:f>
              <c:strCache>
                <c:ptCount val="1"/>
                <c:pt idx="0">
                  <c:v>Total Slow Moving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12:00-13:00</c:v>
                </c:pt>
                <c:pt idx="1">
                  <c:v>13:00-14:00</c:v>
                </c:pt>
                <c:pt idx="2">
                  <c:v>14:00-15:00</c:v>
                </c:pt>
                <c:pt idx="3">
                  <c:v>15:00-16:00</c:v>
                </c:pt>
                <c:pt idx="4">
                  <c:v>16:00-17:00</c:v>
                </c:pt>
                <c:pt idx="5">
                  <c:v>17:00-18:00</c:v>
                </c:pt>
                <c:pt idx="6">
                  <c:v>18:00-19:00</c:v>
                </c:pt>
                <c:pt idx="7">
                  <c:v>19:00-20:00</c:v>
                </c:pt>
                <c:pt idx="8">
                  <c:v>20:00-21:00</c:v>
                </c:pt>
                <c:pt idx="9">
                  <c:v>21:00-22:00</c:v>
                </c:pt>
                <c:pt idx="10">
                  <c:v>22:00-23:00</c:v>
                </c:pt>
                <c:pt idx="11">
                  <c:v>23:00-00:00</c:v>
                </c:pt>
                <c:pt idx="12">
                  <c:v>00:00-01:00</c:v>
                </c:pt>
                <c:pt idx="13">
                  <c:v>01:00-02:00</c:v>
                </c:pt>
                <c:pt idx="14">
                  <c:v>02:00-03:00</c:v>
                </c:pt>
                <c:pt idx="15">
                  <c:v>03:00-04:00</c:v>
                </c:pt>
                <c:pt idx="16">
                  <c:v>04:00-05:00</c:v>
                </c:pt>
                <c:pt idx="17">
                  <c:v>05:00-06:00</c:v>
                </c:pt>
                <c:pt idx="18">
                  <c:v>06:00-07:00</c:v>
                </c:pt>
                <c:pt idx="19">
                  <c:v>07:00-08:00</c:v>
                </c:pt>
                <c:pt idx="20">
                  <c:v>08:00-09:00</c:v>
                </c:pt>
                <c:pt idx="21">
                  <c:v>09:00-10:00</c:v>
                </c:pt>
                <c:pt idx="22">
                  <c:v>10:00-11:00</c:v>
                </c:pt>
                <c:pt idx="23">
                  <c:v>11:00-12:00</c:v>
                </c:pt>
              </c:strCache>
            </c:strRef>
          </c:cat>
          <c:val>
            <c:numRef>
              <c:f>Charts!$E$31:$E$54</c:f>
              <c:numCache>
                <c:formatCode>0</c:formatCode>
                <c:ptCount val="24"/>
                <c:pt idx="0">
                  <c:v>0.7142857142857143</c:v>
                </c:pt>
                <c:pt idx="1">
                  <c:v>1.5714285714285714</c:v>
                </c:pt>
                <c:pt idx="2">
                  <c:v>1.2857142857142856</c:v>
                </c:pt>
                <c:pt idx="3">
                  <c:v>0.71428571428571419</c:v>
                </c:pt>
                <c:pt idx="4">
                  <c:v>0.5714285714285714</c:v>
                </c:pt>
                <c:pt idx="5">
                  <c:v>0.2857142857142857</c:v>
                </c:pt>
                <c:pt idx="6">
                  <c:v>0.5714285714285714</c:v>
                </c:pt>
                <c:pt idx="7">
                  <c:v>0</c:v>
                </c:pt>
                <c:pt idx="8">
                  <c:v>0</c:v>
                </c:pt>
                <c:pt idx="9">
                  <c:v>0.2857142857142857</c:v>
                </c:pt>
                <c:pt idx="10">
                  <c:v>0</c:v>
                </c:pt>
                <c:pt idx="11">
                  <c:v>0.2857142857142857</c:v>
                </c:pt>
                <c:pt idx="12">
                  <c:v>0.2857142857142857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0.42857142857142855</c:v>
                </c:pt>
                <c:pt idx="17">
                  <c:v>1.7142857142857142</c:v>
                </c:pt>
                <c:pt idx="18">
                  <c:v>1.4285714285714286</c:v>
                </c:pt>
                <c:pt idx="19">
                  <c:v>0.2857142857142857</c:v>
                </c:pt>
                <c:pt idx="20">
                  <c:v>1</c:v>
                </c:pt>
                <c:pt idx="21">
                  <c:v>0.5714285714285714</c:v>
                </c:pt>
                <c:pt idx="22">
                  <c:v>1.2857142857142856</c:v>
                </c:pt>
                <c:pt idx="23">
                  <c:v>0.8571428571428571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822530928"/>
        <c:axId val="-1822526576"/>
      </c:lineChart>
      <c:catAx>
        <c:axId val="-1822530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Period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-1822526576"/>
        <c:crosses val="autoZero"/>
        <c:auto val="1"/>
        <c:lblAlgn val="ctr"/>
        <c:lblOffset val="100"/>
        <c:noMultiLvlLbl val="0"/>
      </c:catAx>
      <c:valAx>
        <c:axId val="-18225265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Vehicles</a:t>
                </a:r>
              </a:p>
            </c:rich>
          </c:tx>
          <c:layout>
            <c:manualLayout>
              <c:xMode val="edge"/>
              <c:yMode val="edge"/>
              <c:x val="1.5319930169495477E-2"/>
              <c:y val="0.23135445282542841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-182253092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8478506372205436"/>
          <c:y val="0.87028610964368913"/>
          <c:w val="0.70066994892160783"/>
          <c:h val="9.823240989493503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Composition of Traffic at Nathavalasa</a:t>
            </a:r>
            <a:r>
              <a:rPr lang="en-US" baseline="0"/>
              <a:t>Toll</a:t>
            </a:r>
            <a:endParaRPr lang="en-US"/>
          </a:p>
        </c:rich>
      </c:tx>
      <c:layout/>
      <c:overlay val="0"/>
    </c:title>
    <c:autoTitleDeleted val="0"/>
    <c:view3D>
      <c:rotX val="7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Charts!$A$62:$A$73</c:f>
              <c:strCache>
                <c:ptCount val="12"/>
                <c:pt idx="0">
                  <c:v>Car, Jeep, Van&amp; Taxi</c:v>
                </c:pt>
                <c:pt idx="1">
                  <c:v>Bus</c:v>
                </c:pt>
                <c:pt idx="2">
                  <c:v>LMV</c:v>
                </c:pt>
                <c:pt idx="3">
                  <c:v>LCV</c:v>
                </c:pt>
                <c:pt idx="4">
                  <c:v>2Axle</c:v>
                </c:pt>
                <c:pt idx="5">
                  <c:v>3Axle</c:v>
                </c:pt>
                <c:pt idx="6">
                  <c:v>MAV</c:v>
                </c:pt>
                <c:pt idx="7">
                  <c:v>2-Wheeler</c:v>
                </c:pt>
                <c:pt idx="8">
                  <c:v>3-Wheeler</c:v>
                </c:pt>
                <c:pt idx="9">
                  <c:v>Tractor</c:v>
                </c:pt>
                <c:pt idx="10">
                  <c:v>Tractor with trailor</c:v>
                </c:pt>
                <c:pt idx="11">
                  <c:v>Slow Moving Vehicles</c:v>
                </c:pt>
              </c:strCache>
            </c:strRef>
          </c:cat>
          <c:val>
            <c:numRef>
              <c:f>Charts!$C$62:$C$73</c:f>
              <c:numCache>
                <c:formatCode>0.00%</c:formatCode>
                <c:ptCount val="12"/>
                <c:pt idx="0">
                  <c:v>0.26122889904077673</c:v>
                </c:pt>
                <c:pt idx="1">
                  <c:v>4.2878710970546512E-2</c:v>
                </c:pt>
                <c:pt idx="2">
                  <c:v>3.6533781057618474E-2</c:v>
                </c:pt>
                <c:pt idx="3">
                  <c:v>4.4381971288378688E-2</c:v>
                </c:pt>
                <c:pt idx="4">
                  <c:v>3.9306027358036261E-2</c:v>
                </c:pt>
                <c:pt idx="5">
                  <c:v>4.8006715864277065E-2</c:v>
                </c:pt>
                <c:pt idx="6">
                  <c:v>0.15517420899873752</c:v>
                </c:pt>
                <c:pt idx="7">
                  <c:v>0.30863691382609038</c:v>
                </c:pt>
                <c:pt idx="8">
                  <c:v>5.6974216807882033E-2</c:v>
                </c:pt>
                <c:pt idx="9">
                  <c:v>9.9566592479793849E-4</c:v>
                </c:pt>
                <c:pt idx="10">
                  <c:v>5.2386344409303294E-3</c:v>
                </c:pt>
                <c:pt idx="11">
                  <c:v>6.4425442192807779E-4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Day-wise Traffic Variation - Both Directions</a:t>
            </a:r>
          </a:p>
        </c:rich>
      </c:tx>
      <c:layout>
        <c:manualLayout>
          <c:xMode val="edge"/>
          <c:yMode val="edge"/>
          <c:x val="0.22655415148102639"/>
          <c:y val="2.186494180396099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851250783067376"/>
          <c:y val="0.13411616711587357"/>
          <c:w val="0.84369077177357188"/>
          <c:h val="0.663420210609317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Charts!$B$20</c:f>
              <c:strCache>
                <c:ptCount val="1"/>
                <c:pt idx="0">
                  <c:v>Vehicles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7.7633560796038807E-3"/>
                  <c:y val="1.8220784836634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7.5055079959692001E-3"/>
                  <c:y val="1.02007700935808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1.1086480752888209E-2"/>
                  <c:y val="-3.10975712985049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9.2100685094887065E-3"/>
                  <c:y val="-3.304131297540825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1.2704903935023975E-2"/>
                  <c:y val="1.0252132620914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1.1000343421504502E-2"/>
                  <c:y val="-3.644156967326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1.108633977525910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Charts!$A$21:$A$27</c:f>
              <c:strCache>
                <c:ptCount val="7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</c:strCache>
            </c:strRef>
          </c:cat>
          <c:val>
            <c:numRef>
              <c:f>Charts!$B$21:$B$27</c:f>
              <c:numCache>
                <c:formatCode>General</c:formatCode>
                <c:ptCount val="7"/>
                <c:pt idx="0">
                  <c:v>23270</c:v>
                </c:pt>
                <c:pt idx="1">
                  <c:v>19672</c:v>
                </c:pt>
                <c:pt idx="2">
                  <c:v>20902</c:v>
                </c:pt>
                <c:pt idx="3">
                  <c:v>20951</c:v>
                </c:pt>
                <c:pt idx="4">
                  <c:v>21027</c:v>
                </c:pt>
                <c:pt idx="5">
                  <c:v>22195</c:v>
                </c:pt>
                <c:pt idx="6">
                  <c:v>25704</c:v>
                </c:pt>
              </c:numCache>
            </c:numRef>
          </c:val>
        </c:ser>
        <c:ser>
          <c:idx val="1"/>
          <c:order val="1"/>
          <c:tx>
            <c:strRef>
              <c:f>Charts!$C$20</c:f>
              <c:strCache>
                <c:ptCount val="1"/>
                <c:pt idx="0">
                  <c:v>PCUs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1.7904158896449676E-3"/>
                  <c:y val="7.28831393465366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5.3712476689348372E-3"/>
                  <c:y val="7.28831393465369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1.7902749120157961E-3"/>
                  <c:y val="1.09324709019804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"/>
                  <c:y val="-4.00860135820886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"/>
                  <c:y val="-1.8220784836634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Charts!$A$21:$A$27</c:f>
              <c:strCache>
                <c:ptCount val="7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</c:strCache>
            </c:strRef>
          </c:cat>
          <c:val>
            <c:numRef>
              <c:f>Charts!$C$21:$C$27</c:f>
              <c:numCache>
                <c:formatCode>0</c:formatCode>
                <c:ptCount val="7"/>
                <c:pt idx="0">
                  <c:v>36053.5</c:v>
                </c:pt>
                <c:pt idx="1">
                  <c:v>33855</c:v>
                </c:pt>
                <c:pt idx="2">
                  <c:v>35868.5</c:v>
                </c:pt>
                <c:pt idx="3">
                  <c:v>35563</c:v>
                </c:pt>
                <c:pt idx="4">
                  <c:v>36135</c:v>
                </c:pt>
                <c:pt idx="5">
                  <c:v>38812.5</c:v>
                </c:pt>
                <c:pt idx="6">
                  <c:v>43663.5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815572912"/>
        <c:axId val="-1815572368"/>
      </c:barChart>
      <c:catAx>
        <c:axId val="-1815572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Days</a:t>
                </a:r>
              </a:p>
            </c:rich>
          </c:tx>
          <c:layout>
            <c:manualLayout>
              <c:xMode val="edge"/>
              <c:yMode val="edge"/>
              <c:x val="0.4273536638112117"/>
              <c:y val="0.866513382520844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-1815572368"/>
        <c:crosses val="autoZero"/>
        <c:auto val="1"/>
        <c:lblAlgn val="ctr"/>
        <c:lblOffset val="100"/>
        <c:noMultiLvlLbl val="0"/>
      </c:catAx>
      <c:valAx>
        <c:axId val="-18155723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Vehicles/PCUs</a:t>
                </a:r>
              </a:p>
            </c:rich>
          </c:tx>
          <c:layout>
            <c:manualLayout>
              <c:xMode val="edge"/>
              <c:yMode val="edge"/>
              <c:x val="6.6170669773437671E-3"/>
              <c:y val="0.3475096605626600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-181557291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4940648418146416"/>
          <c:y val="0.92623252697605529"/>
          <c:w val="0.45409148094743734"/>
          <c:h val="5.538909699224128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Direction wise summary of Volume count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871123131867968"/>
          <c:y val="0.17415193207610616"/>
          <c:w val="0.84102826701197331"/>
          <c:h val="0.578471712388264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'Summary Direction wise'!$F$32</c:f>
              <c:strCache>
                <c:ptCount val="1"/>
                <c:pt idx="0">
                  <c:v>Ranasthalam to Anandapuram</c:v>
                </c:pt>
              </c:strCache>
            </c:strRef>
          </c:tx>
          <c:invertIfNegative val="0"/>
          <c:dLbls>
            <c:dLbl>
              <c:idx val="1"/>
              <c:layout>
                <c:manualLayout>
                  <c:x val="0"/>
                  <c:y val="1.42348754448398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4.3417686509966408E-17"/>
                  <c:y val="-4.74495848161328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-1.42348754448398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7.1047944122377008E-3"/>
                  <c:y val="9.48991696322657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'Summary Direction wise'!$E$33:$E$39</c:f>
              <c:strCache>
                <c:ptCount val="7"/>
                <c:pt idx="0">
                  <c:v>Day-1</c:v>
                </c:pt>
                <c:pt idx="1">
                  <c:v>Day- 2</c:v>
                </c:pt>
                <c:pt idx="2">
                  <c:v>Day-3</c:v>
                </c:pt>
                <c:pt idx="3">
                  <c:v>Day-4</c:v>
                </c:pt>
                <c:pt idx="4">
                  <c:v>Day-5</c:v>
                </c:pt>
                <c:pt idx="5">
                  <c:v>Day-6</c:v>
                </c:pt>
                <c:pt idx="6">
                  <c:v>Day-7</c:v>
                </c:pt>
              </c:strCache>
            </c:strRef>
          </c:cat>
          <c:val>
            <c:numRef>
              <c:f>'Summary Direction wise'!$F$33:$F$39</c:f>
              <c:numCache>
                <c:formatCode>General</c:formatCode>
                <c:ptCount val="7"/>
                <c:pt idx="0">
                  <c:v>12029</c:v>
                </c:pt>
                <c:pt idx="1">
                  <c:v>10095</c:v>
                </c:pt>
                <c:pt idx="2">
                  <c:v>10352</c:v>
                </c:pt>
                <c:pt idx="3">
                  <c:v>10849</c:v>
                </c:pt>
                <c:pt idx="4">
                  <c:v>10649</c:v>
                </c:pt>
                <c:pt idx="5">
                  <c:v>11092</c:v>
                </c:pt>
                <c:pt idx="6">
                  <c:v>12171</c:v>
                </c:pt>
              </c:numCache>
            </c:numRef>
          </c:val>
        </c:ser>
        <c:ser>
          <c:idx val="1"/>
          <c:order val="1"/>
          <c:tx>
            <c:strRef>
              <c:f>'Summary Direction wise'!$H$32</c:f>
              <c:strCache>
                <c:ptCount val="1"/>
                <c:pt idx="0">
                  <c:v>Anandapuram to Ranasthalam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2.3682648040792551E-3"/>
                  <c:y val="-1.8979833926453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2.84697508896797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7.5329551961177731E-3"/>
                  <c:y val="-1.42348754448398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1.8979833926453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4.736529608158466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9.48991696322657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'Summary Direction wise'!$E$33:$E$39</c:f>
              <c:strCache>
                <c:ptCount val="7"/>
                <c:pt idx="0">
                  <c:v>Day-1</c:v>
                </c:pt>
                <c:pt idx="1">
                  <c:v>Day- 2</c:v>
                </c:pt>
                <c:pt idx="2">
                  <c:v>Day-3</c:v>
                </c:pt>
                <c:pt idx="3">
                  <c:v>Day-4</c:v>
                </c:pt>
                <c:pt idx="4">
                  <c:v>Day-5</c:v>
                </c:pt>
                <c:pt idx="5">
                  <c:v>Day-6</c:v>
                </c:pt>
                <c:pt idx="6">
                  <c:v>Day-7</c:v>
                </c:pt>
              </c:strCache>
            </c:strRef>
          </c:cat>
          <c:val>
            <c:numRef>
              <c:f>'Summary Direction wise'!$H$33:$H$39</c:f>
              <c:numCache>
                <c:formatCode>General</c:formatCode>
                <c:ptCount val="7"/>
                <c:pt idx="0">
                  <c:v>11241</c:v>
                </c:pt>
                <c:pt idx="1">
                  <c:v>9577</c:v>
                </c:pt>
                <c:pt idx="2">
                  <c:v>10550</c:v>
                </c:pt>
                <c:pt idx="3">
                  <c:v>10102</c:v>
                </c:pt>
                <c:pt idx="4">
                  <c:v>10378</c:v>
                </c:pt>
                <c:pt idx="5">
                  <c:v>11103</c:v>
                </c:pt>
                <c:pt idx="6">
                  <c:v>13533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-1815571824"/>
        <c:axId val="-1815571280"/>
      </c:barChart>
      <c:catAx>
        <c:axId val="-1815571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Days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3961017988369766"/>
              <c:y val="0.83713920101624306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-1815571280"/>
        <c:crosses val="autoZero"/>
        <c:auto val="1"/>
        <c:lblAlgn val="ctr"/>
        <c:lblOffset val="100"/>
        <c:noMultiLvlLbl val="0"/>
      </c:catAx>
      <c:valAx>
        <c:axId val="-18155712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Total Vehicles Direction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Wise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8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-181557182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6650095028956233"/>
          <c:y val="0.9094523682760296"/>
          <c:w val="0.66699809942087529"/>
          <c:h val="6.2077880834290722E-2"/>
        </c:manualLayout>
      </c:layout>
      <c:overlay val="0"/>
      <c:txPr>
        <a:bodyPr/>
        <a:lstStyle/>
        <a:p>
          <a:pPr>
            <a:defRPr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414617</xdr:colOff>
      <xdr:row>29</xdr:row>
      <xdr:rowOff>347383</xdr:rowOff>
    </xdr:from>
    <xdr:to>
      <xdr:col>18</xdr:col>
      <xdr:colOff>448235</xdr:colOff>
      <xdr:row>50</xdr:row>
      <xdr:rowOff>33619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179293</xdr:colOff>
      <xdr:row>56</xdr:row>
      <xdr:rowOff>33619</xdr:rowOff>
    </xdr:from>
    <xdr:to>
      <xdr:col>16</xdr:col>
      <xdr:colOff>190500</xdr:colOff>
      <xdr:row>77</xdr:row>
      <xdr:rowOff>123265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526677</xdr:colOff>
      <xdr:row>7</xdr:row>
      <xdr:rowOff>78441</xdr:rowOff>
    </xdr:from>
    <xdr:to>
      <xdr:col>19</xdr:col>
      <xdr:colOff>358589</xdr:colOff>
      <xdr:row>27</xdr:row>
      <xdr:rowOff>100854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152399</xdr:colOff>
      <xdr:row>21</xdr:row>
      <xdr:rowOff>142875</xdr:rowOff>
    </xdr:from>
    <xdr:to>
      <xdr:col>19</xdr:col>
      <xdr:colOff>142875</xdr:colOff>
      <xdr:row>38</xdr:row>
      <xdr:rowOff>66675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3:AR98"/>
  <sheetViews>
    <sheetView tabSelected="1" zoomScaleNormal="100" workbookViewId="0">
      <selection activeCell="J16" sqref="J16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0" t="s">
        <v>0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9" t="s">
        <v>0</v>
      </c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1"/>
    </row>
    <row r="5" spans="1:44" x14ac:dyDescent="0.3">
      <c r="A5" s="143" t="s">
        <v>201</v>
      </c>
      <c r="B5" s="153" t="s">
        <v>239</v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5"/>
      <c r="Q5" s="143" t="s">
        <v>202</v>
      </c>
      <c r="R5" s="156">
        <v>45232</v>
      </c>
      <c r="S5" s="157"/>
      <c r="T5" s="157"/>
      <c r="U5" s="157"/>
      <c r="V5" s="158"/>
      <c r="W5" s="143" t="str">
        <f>A5</f>
        <v xml:space="preserve">Location: </v>
      </c>
      <c r="X5" s="153" t="str">
        <f>B5</f>
        <v>Nathavalasa Toll Plaza</v>
      </c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5"/>
      <c r="AJ5" s="143" t="s">
        <v>202</v>
      </c>
      <c r="AK5" s="156">
        <f>R5</f>
        <v>45232</v>
      </c>
      <c r="AL5" s="168"/>
      <c r="AM5" s="168"/>
      <c r="AN5" s="168"/>
      <c r="AO5" s="168"/>
      <c r="AP5" s="168"/>
      <c r="AQ5" s="168"/>
      <c r="AR5" s="169"/>
    </row>
    <row r="6" spans="1:44" x14ac:dyDescent="0.3">
      <c r="A6" s="144" t="s">
        <v>203</v>
      </c>
      <c r="B6" s="153" t="s">
        <v>204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5"/>
      <c r="W6" s="153" t="s">
        <v>1</v>
      </c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5"/>
    </row>
    <row r="7" spans="1:44" x14ac:dyDescent="0.3">
      <c r="A7" s="32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1" t="s">
        <v>2</v>
      </c>
      <c r="B8" s="171" t="s">
        <v>80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0" t="s">
        <v>81</v>
      </c>
      <c r="O8" s="170"/>
      <c r="P8" s="103"/>
      <c r="Q8" s="104"/>
      <c r="R8" s="104"/>
      <c r="S8" s="104"/>
      <c r="T8" s="104"/>
      <c r="U8" s="104"/>
      <c r="V8" s="105"/>
      <c r="W8" s="162" t="s">
        <v>2</v>
      </c>
      <c r="X8" s="163" t="s">
        <v>80</v>
      </c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5"/>
      <c r="AJ8" s="166" t="s">
        <v>81</v>
      </c>
      <c r="AK8" s="167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2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1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49" t="s">
        <v>76</v>
      </c>
      <c r="AM9" s="149" t="s">
        <v>17</v>
      </c>
      <c r="AN9" s="149" t="s">
        <v>18</v>
      </c>
      <c r="AO9" s="149" t="s">
        <v>19</v>
      </c>
      <c r="AP9" s="149" t="s">
        <v>20</v>
      </c>
      <c r="AQ9" s="149" t="s">
        <v>21</v>
      </c>
      <c r="AR9" s="149" t="s">
        <v>22</v>
      </c>
    </row>
    <row r="10" spans="1:44" x14ac:dyDescent="0.3">
      <c r="A10" s="62" t="s">
        <v>209</v>
      </c>
      <c r="B10" s="108">
        <v>238</v>
      </c>
      <c r="C10" s="140">
        <v>24</v>
      </c>
      <c r="D10" s="108">
        <v>18</v>
      </c>
      <c r="E10" s="108">
        <v>18</v>
      </c>
      <c r="F10" s="108">
        <v>11</v>
      </c>
      <c r="G10" s="108">
        <v>7</v>
      </c>
      <c r="H10" s="108">
        <v>50</v>
      </c>
      <c r="I10" s="108">
        <v>0</v>
      </c>
      <c r="J10" s="108">
        <v>221</v>
      </c>
      <c r="K10" s="108">
        <v>52</v>
      </c>
      <c r="L10" s="108">
        <v>0</v>
      </c>
      <c r="M10" s="108">
        <v>0</v>
      </c>
      <c r="N10" s="108">
        <v>3</v>
      </c>
      <c r="O10" s="108">
        <v>0</v>
      </c>
      <c r="P10" s="108">
        <v>0</v>
      </c>
      <c r="Q10" s="63">
        <f t="shared" ref="Q10:Q33" si="0">B10+C10+J10+K10+N10+O10</f>
        <v>538</v>
      </c>
      <c r="R10" s="45">
        <f t="shared" ref="R10:R33" si="1">D10+E10+F10+G10+H10+I10+L10+M10+P10</f>
        <v>104</v>
      </c>
      <c r="S10" s="45">
        <f t="shared" ref="S10:S33" si="2">Q10+R10</f>
        <v>642</v>
      </c>
      <c r="T10" s="45">
        <f t="shared" ref="T10:T33" si="3">N10+O10</f>
        <v>3</v>
      </c>
      <c r="U10" s="45">
        <f t="shared" ref="U10:U33" si="4">SUM(B10:P10)</f>
        <v>642</v>
      </c>
      <c r="V10" s="46">
        <f t="shared" ref="V10:V33" si="5">SUMPRODUCT(B10:P10,$B$7:$P$7)</f>
        <v>798</v>
      </c>
      <c r="W10" s="47" t="str">
        <f t="shared" ref="W10:W33" si="6">A10</f>
        <v>12:00-13:00</v>
      </c>
      <c r="X10" s="45">
        <f>B10+B44</f>
        <v>459</v>
      </c>
      <c r="Y10" s="45">
        <f>C10+C44</f>
        <v>46</v>
      </c>
      <c r="Z10" s="45">
        <f>D10+D44</f>
        <v>34</v>
      </c>
      <c r="AA10" s="45">
        <f>E10+E44</f>
        <v>32</v>
      </c>
      <c r="AB10" s="45">
        <f>F10+F44</f>
        <v>30</v>
      </c>
      <c r="AC10" s="45">
        <f>G10+G44</f>
        <v>30</v>
      </c>
      <c r="AD10" s="45">
        <f>H10+H44</f>
        <v>100</v>
      </c>
      <c r="AE10" s="45">
        <f>I10+I44</f>
        <v>0</v>
      </c>
      <c r="AF10" s="45">
        <f>J10+J44</f>
        <v>377</v>
      </c>
      <c r="AG10" s="45">
        <f>K10+K44</f>
        <v>81</v>
      </c>
      <c r="AH10" s="45">
        <f>L10+L44</f>
        <v>2</v>
      </c>
      <c r="AI10" s="45">
        <f>M10+M44</f>
        <v>5</v>
      </c>
      <c r="AJ10" s="45">
        <f>N10+N44</f>
        <v>5</v>
      </c>
      <c r="AK10" s="45">
        <f>O10+O44</f>
        <v>0</v>
      </c>
      <c r="AL10" s="45">
        <f>P10+P44</f>
        <v>0</v>
      </c>
      <c r="AM10" s="45">
        <f>Q10+Q44</f>
        <v>968</v>
      </c>
      <c r="AN10" s="45">
        <f>R10+R44</f>
        <v>233</v>
      </c>
      <c r="AO10" s="45">
        <f>S10+S44</f>
        <v>1201</v>
      </c>
      <c r="AP10" s="45">
        <f>T10+T44</f>
        <v>5</v>
      </c>
      <c r="AQ10" s="45">
        <f>U10+U44</f>
        <v>1201</v>
      </c>
      <c r="AR10" s="53">
        <f>V10+V44</f>
        <v>1606.5</v>
      </c>
    </row>
    <row r="11" spans="1:44" x14ac:dyDescent="0.3">
      <c r="A11" s="62" t="s">
        <v>210</v>
      </c>
      <c r="B11" s="108">
        <v>193</v>
      </c>
      <c r="C11" s="140">
        <v>23</v>
      </c>
      <c r="D11" s="108">
        <v>15</v>
      </c>
      <c r="E11" s="108">
        <v>11</v>
      </c>
      <c r="F11" s="108">
        <v>18</v>
      </c>
      <c r="G11" s="108">
        <v>15</v>
      </c>
      <c r="H11" s="108">
        <v>54</v>
      </c>
      <c r="I11" s="108">
        <v>0</v>
      </c>
      <c r="J11" s="108">
        <v>205</v>
      </c>
      <c r="K11" s="108">
        <v>57</v>
      </c>
      <c r="L11" s="108">
        <v>0</v>
      </c>
      <c r="M11" s="108">
        <v>0</v>
      </c>
      <c r="N11" s="108">
        <v>4</v>
      </c>
      <c r="O11" s="108">
        <v>0</v>
      </c>
      <c r="P11" s="108">
        <v>0</v>
      </c>
      <c r="Q11" s="63">
        <f t="shared" si="0"/>
        <v>482</v>
      </c>
      <c r="R11" s="45">
        <f t="shared" si="1"/>
        <v>113</v>
      </c>
      <c r="S11" s="45">
        <f t="shared" si="2"/>
        <v>595</v>
      </c>
      <c r="T11" s="45">
        <f t="shared" si="3"/>
        <v>4</v>
      </c>
      <c r="U11" s="45">
        <f t="shared" si="4"/>
        <v>595</v>
      </c>
      <c r="V11" s="46">
        <f t="shared" si="5"/>
        <v>797</v>
      </c>
      <c r="W11" s="47" t="str">
        <f t="shared" si="6"/>
        <v>13:00-14:00</v>
      </c>
      <c r="X11" s="45">
        <f>B11+B45</f>
        <v>321</v>
      </c>
      <c r="Y11" s="45">
        <f>C11+C45</f>
        <v>47</v>
      </c>
      <c r="Z11" s="45">
        <f>D11+D45</f>
        <v>31</v>
      </c>
      <c r="AA11" s="45">
        <f>E11+E45</f>
        <v>25</v>
      </c>
      <c r="AB11" s="45">
        <f>F11+F45</f>
        <v>32</v>
      </c>
      <c r="AC11" s="45">
        <f>G11+G45</f>
        <v>41</v>
      </c>
      <c r="AD11" s="45">
        <f>H11+H45</f>
        <v>107</v>
      </c>
      <c r="AE11" s="45">
        <f>I11+I45</f>
        <v>0</v>
      </c>
      <c r="AF11" s="45">
        <f>J11+J45</f>
        <v>381</v>
      </c>
      <c r="AG11" s="45">
        <f>K11+K45</f>
        <v>87</v>
      </c>
      <c r="AH11" s="45">
        <f>L11+L45</f>
        <v>0</v>
      </c>
      <c r="AI11" s="45">
        <f>M11+M45</f>
        <v>2</v>
      </c>
      <c r="AJ11" s="45">
        <f>N11+N45</f>
        <v>4</v>
      </c>
      <c r="AK11" s="45">
        <f>O11+O45</f>
        <v>0</v>
      </c>
      <c r="AL11" s="45">
        <f>P11+P45</f>
        <v>0</v>
      </c>
      <c r="AM11" s="45">
        <f>Q11+Q45</f>
        <v>840</v>
      </c>
      <c r="AN11" s="45">
        <f>R11+R45</f>
        <v>238</v>
      </c>
      <c r="AO11" s="45">
        <f>S11+S45</f>
        <v>1078</v>
      </c>
      <c r="AP11" s="45">
        <f>T11+T45</f>
        <v>4</v>
      </c>
      <c r="AQ11" s="45">
        <f>U11+U45</f>
        <v>1078</v>
      </c>
      <c r="AR11" s="45">
        <f>V11+V45</f>
        <v>1519.5</v>
      </c>
    </row>
    <row r="12" spans="1:44" x14ac:dyDescent="0.3">
      <c r="A12" s="62" t="s">
        <v>211</v>
      </c>
      <c r="B12" s="108">
        <v>227</v>
      </c>
      <c r="C12" s="140">
        <v>22</v>
      </c>
      <c r="D12" s="108">
        <v>17</v>
      </c>
      <c r="E12" s="108">
        <v>14</v>
      </c>
      <c r="F12" s="108">
        <v>14</v>
      </c>
      <c r="G12" s="108">
        <v>13</v>
      </c>
      <c r="H12" s="108">
        <v>59</v>
      </c>
      <c r="I12" s="108">
        <v>0</v>
      </c>
      <c r="J12" s="108">
        <v>222</v>
      </c>
      <c r="K12" s="108">
        <v>72</v>
      </c>
      <c r="L12" s="108">
        <v>0</v>
      </c>
      <c r="M12" s="108">
        <v>3</v>
      </c>
      <c r="N12" s="108">
        <v>0</v>
      </c>
      <c r="O12" s="108">
        <v>0</v>
      </c>
      <c r="P12" s="108">
        <v>0</v>
      </c>
      <c r="Q12" s="63">
        <f t="shared" si="0"/>
        <v>543</v>
      </c>
      <c r="R12" s="45">
        <f t="shared" si="1"/>
        <v>120</v>
      </c>
      <c r="S12" s="45">
        <f t="shared" si="2"/>
        <v>663</v>
      </c>
      <c r="T12" s="45">
        <f t="shared" si="3"/>
        <v>0</v>
      </c>
      <c r="U12" s="45">
        <f t="shared" si="4"/>
        <v>663</v>
      </c>
      <c r="V12" s="46">
        <f t="shared" si="5"/>
        <v>874</v>
      </c>
      <c r="W12" s="47" t="str">
        <f t="shared" si="6"/>
        <v>14:00-15:00</v>
      </c>
      <c r="X12" s="45">
        <f>B12+B46</f>
        <v>356</v>
      </c>
      <c r="Y12" s="45">
        <f>C12+C46</f>
        <v>40</v>
      </c>
      <c r="Z12" s="45">
        <f>D12+D46</f>
        <v>40</v>
      </c>
      <c r="AA12" s="45">
        <f>E12+E46</f>
        <v>30</v>
      </c>
      <c r="AB12" s="45">
        <f>F12+F46</f>
        <v>39</v>
      </c>
      <c r="AC12" s="45">
        <f>G12+G46</f>
        <v>43</v>
      </c>
      <c r="AD12" s="45">
        <f>H12+H46</f>
        <v>124</v>
      </c>
      <c r="AE12" s="45">
        <f>I12+I46</f>
        <v>0</v>
      </c>
      <c r="AF12" s="45">
        <f>J12+J46</f>
        <v>362</v>
      </c>
      <c r="AG12" s="45">
        <f>K12+K46</f>
        <v>99</v>
      </c>
      <c r="AH12" s="45">
        <f>L12+L46</f>
        <v>0</v>
      </c>
      <c r="AI12" s="45">
        <f>M12+M46</f>
        <v>7</v>
      </c>
      <c r="AJ12" s="45">
        <f>N12+N46</f>
        <v>0</v>
      </c>
      <c r="AK12" s="45">
        <f>O12+O46</f>
        <v>0</v>
      </c>
      <c r="AL12" s="45">
        <f>P12+P46</f>
        <v>0</v>
      </c>
      <c r="AM12" s="45">
        <f>Q12+Q46</f>
        <v>857</v>
      </c>
      <c r="AN12" s="45">
        <f>R12+R46</f>
        <v>283</v>
      </c>
      <c r="AO12" s="45">
        <f>S12+S46</f>
        <v>1140</v>
      </c>
      <c r="AP12" s="45">
        <f>T12+T46</f>
        <v>0</v>
      </c>
      <c r="AQ12" s="45">
        <f>U12+U46</f>
        <v>1140</v>
      </c>
      <c r="AR12" s="45">
        <f>V12+V46</f>
        <v>1676.5</v>
      </c>
    </row>
    <row r="13" spans="1:44" x14ac:dyDescent="0.3">
      <c r="A13" s="62" t="s">
        <v>212</v>
      </c>
      <c r="B13" s="108">
        <v>265</v>
      </c>
      <c r="C13" s="141">
        <v>27</v>
      </c>
      <c r="D13" s="108">
        <v>11</v>
      </c>
      <c r="E13" s="108">
        <v>11</v>
      </c>
      <c r="F13" s="108">
        <v>21</v>
      </c>
      <c r="G13" s="108">
        <v>17</v>
      </c>
      <c r="H13" s="108">
        <v>42</v>
      </c>
      <c r="I13" s="108">
        <v>0</v>
      </c>
      <c r="J13" s="108">
        <v>282</v>
      </c>
      <c r="K13" s="108">
        <v>71</v>
      </c>
      <c r="L13" s="108">
        <v>0</v>
      </c>
      <c r="M13" s="108">
        <v>4</v>
      </c>
      <c r="N13" s="108">
        <v>0</v>
      </c>
      <c r="O13" s="108">
        <v>0</v>
      </c>
      <c r="P13" s="108">
        <v>0</v>
      </c>
      <c r="Q13" s="63">
        <f t="shared" si="0"/>
        <v>645</v>
      </c>
      <c r="R13" s="45">
        <f t="shared" si="1"/>
        <v>106</v>
      </c>
      <c r="S13" s="45">
        <f t="shared" si="2"/>
        <v>751</v>
      </c>
      <c r="T13" s="45">
        <f t="shared" si="3"/>
        <v>0</v>
      </c>
      <c r="U13" s="45">
        <f t="shared" si="4"/>
        <v>751</v>
      </c>
      <c r="V13" s="46">
        <f t="shared" si="5"/>
        <v>906.5</v>
      </c>
      <c r="W13" s="47" t="str">
        <f t="shared" si="6"/>
        <v>15:00-16:00</v>
      </c>
      <c r="X13" s="45">
        <f>B13+B47</f>
        <v>499</v>
      </c>
      <c r="Y13" s="45">
        <f>C13+C47</f>
        <v>49</v>
      </c>
      <c r="Z13" s="45">
        <f>D13+D47</f>
        <v>24</v>
      </c>
      <c r="AA13" s="45">
        <f>E13+E47</f>
        <v>30</v>
      </c>
      <c r="AB13" s="45">
        <f>F13+F47</f>
        <v>56</v>
      </c>
      <c r="AC13" s="45">
        <f>G13+G47</f>
        <v>45</v>
      </c>
      <c r="AD13" s="45">
        <f>H13+H47</f>
        <v>107</v>
      </c>
      <c r="AE13" s="45">
        <f>I13+I47</f>
        <v>0</v>
      </c>
      <c r="AF13" s="45">
        <f>J13+J47</f>
        <v>461</v>
      </c>
      <c r="AG13" s="45">
        <f>K13+K47</f>
        <v>117</v>
      </c>
      <c r="AH13" s="45">
        <f>L13+L47</f>
        <v>3</v>
      </c>
      <c r="AI13" s="45">
        <f>M13+M47</f>
        <v>8</v>
      </c>
      <c r="AJ13" s="45">
        <f>N13+N47</f>
        <v>0</v>
      </c>
      <c r="AK13" s="45">
        <f>O13+O47</f>
        <v>0</v>
      </c>
      <c r="AL13" s="45">
        <f>P13+P47</f>
        <v>0</v>
      </c>
      <c r="AM13" s="45">
        <f>Q13+Q47</f>
        <v>1126</v>
      </c>
      <c r="AN13" s="45">
        <f>R13+R47</f>
        <v>273</v>
      </c>
      <c r="AO13" s="45">
        <f>S13+S47</f>
        <v>1399</v>
      </c>
      <c r="AP13" s="45">
        <f>T13+T47</f>
        <v>0</v>
      </c>
      <c r="AQ13" s="45">
        <f>U13+U47</f>
        <v>1399</v>
      </c>
      <c r="AR13" s="45">
        <f>V13+V47</f>
        <v>1887.5</v>
      </c>
    </row>
    <row r="14" spans="1:44" x14ac:dyDescent="0.3">
      <c r="A14" s="62" t="s">
        <v>213</v>
      </c>
      <c r="B14" s="108">
        <v>216</v>
      </c>
      <c r="C14" s="141">
        <v>30</v>
      </c>
      <c r="D14" s="108">
        <v>19</v>
      </c>
      <c r="E14" s="108">
        <v>13</v>
      </c>
      <c r="F14" s="108">
        <v>22</v>
      </c>
      <c r="G14" s="108">
        <v>33</v>
      </c>
      <c r="H14" s="108">
        <v>65</v>
      </c>
      <c r="I14" s="108">
        <v>0</v>
      </c>
      <c r="J14" s="108">
        <v>293</v>
      </c>
      <c r="K14" s="108">
        <v>42</v>
      </c>
      <c r="L14" s="108">
        <v>0</v>
      </c>
      <c r="M14" s="108">
        <v>3</v>
      </c>
      <c r="N14" s="108">
        <v>0</v>
      </c>
      <c r="O14" s="108">
        <v>0</v>
      </c>
      <c r="P14" s="108">
        <v>0</v>
      </c>
      <c r="Q14" s="63">
        <f t="shared" si="0"/>
        <v>581</v>
      </c>
      <c r="R14" s="45">
        <f t="shared" si="1"/>
        <v>155</v>
      </c>
      <c r="S14" s="45">
        <f t="shared" si="2"/>
        <v>736</v>
      </c>
      <c r="T14" s="45">
        <f t="shared" si="3"/>
        <v>0</v>
      </c>
      <c r="U14" s="45">
        <f t="shared" si="4"/>
        <v>736</v>
      </c>
      <c r="V14" s="46">
        <f t="shared" si="5"/>
        <v>1004</v>
      </c>
      <c r="W14" s="47" t="str">
        <f t="shared" si="6"/>
        <v>16:00-17:00</v>
      </c>
      <c r="X14" s="45">
        <f>B14+B48</f>
        <v>463</v>
      </c>
      <c r="Y14" s="45">
        <f>C14+C48</f>
        <v>48</v>
      </c>
      <c r="Z14" s="45">
        <f>D14+D48</f>
        <v>42</v>
      </c>
      <c r="AA14" s="45">
        <f>E14+E48</f>
        <v>26</v>
      </c>
      <c r="AB14" s="45">
        <f>F14+F48</f>
        <v>41</v>
      </c>
      <c r="AC14" s="45">
        <f>G14+G48</f>
        <v>66</v>
      </c>
      <c r="AD14" s="45">
        <f>H14+H48</f>
        <v>113</v>
      </c>
      <c r="AE14" s="45">
        <f>I14+I48</f>
        <v>0</v>
      </c>
      <c r="AF14" s="45">
        <f>J14+J48</f>
        <v>619</v>
      </c>
      <c r="AG14" s="45">
        <f>K14+K48</f>
        <v>96</v>
      </c>
      <c r="AH14" s="45">
        <f>L14+L48</f>
        <v>0</v>
      </c>
      <c r="AI14" s="45">
        <f>M14+M48</f>
        <v>5</v>
      </c>
      <c r="AJ14" s="45">
        <f>N14+N48</f>
        <v>2</v>
      </c>
      <c r="AK14" s="45">
        <f>O14+O48</f>
        <v>0</v>
      </c>
      <c r="AL14" s="45">
        <f>P14+P48</f>
        <v>0</v>
      </c>
      <c r="AM14" s="45">
        <f>Q14+Q48</f>
        <v>1228</v>
      </c>
      <c r="AN14" s="45">
        <f>R14+R48</f>
        <v>293</v>
      </c>
      <c r="AO14" s="45">
        <f>S14+S48</f>
        <v>1521</v>
      </c>
      <c r="AP14" s="45">
        <f>T14+T48</f>
        <v>2</v>
      </c>
      <c r="AQ14" s="45">
        <f>U14+U48</f>
        <v>1521</v>
      </c>
      <c r="AR14" s="45">
        <f>V14+V48</f>
        <v>1946.5</v>
      </c>
    </row>
    <row r="15" spans="1:44" x14ac:dyDescent="0.3">
      <c r="A15" s="62" t="s">
        <v>214</v>
      </c>
      <c r="B15" s="108">
        <v>242</v>
      </c>
      <c r="C15" s="141">
        <v>28</v>
      </c>
      <c r="D15" s="108">
        <v>18</v>
      </c>
      <c r="E15" s="108">
        <v>18</v>
      </c>
      <c r="F15" s="108">
        <v>12</v>
      </c>
      <c r="G15" s="108">
        <v>15</v>
      </c>
      <c r="H15" s="108">
        <v>94</v>
      </c>
      <c r="I15" s="108">
        <v>0</v>
      </c>
      <c r="J15" s="108">
        <v>339</v>
      </c>
      <c r="K15" s="108">
        <v>42</v>
      </c>
      <c r="L15" s="108">
        <v>0</v>
      </c>
      <c r="M15" s="108">
        <v>3</v>
      </c>
      <c r="N15" s="108">
        <v>2</v>
      </c>
      <c r="O15" s="108">
        <v>0</v>
      </c>
      <c r="P15" s="108">
        <v>0</v>
      </c>
      <c r="Q15" s="63">
        <f t="shared" si="0"/>
        <v>653</v>
      </c>
      <c r="R15" s="45">
        <f t="shared" si="1"/>
        <v>160</v>
      </c>
      <c r="S15" s="45">
        <f t="shared" si="2"/>
        <v>813</v>
      </c>
      <c r="T15" s="45">
        <f t="shared" si="3"/>
        <v>2</v>
      </c>
      <c r="U15" s="45">
        <f t="shared" si="4"/>
        <v>813</v>
      </c>
      <c r="V15" s="46">
        <f t="shared" si="5"/>
        <v>1101</v>
      </c>
      <c r="W15" s="47" t="str">
        <f t="shared" si="6"/>
        <v>17:00-18:00</v>
      </c>
      <c r="X15" s="45">
        <f>B15+B49</f>
        <v>546</v>
      </c>
      <c r="Y15" s="45">
        <f>C15+C49</f>
        <v>55</v>
      </c>
      <c r="Z15" s="45">
        <f>D15+D49</f>
        <v>40</v>
      </c>
      <c r="AA15" s="45">
        <f>E15+E49</f>
        <v>48</v>
      </c>
      <c r="AB15" s="45">
        <f>F15+F49</f>
        <v>29</v>
      </c>
      <c r="AC15" s="45">
        <f>G15+G49</f>
        <v>56</v>
      </c>
      <c r="AD15" s="45">
        <f>H15+H49</f>
        <v>144</v>
      </c>
      <c r="AE15" s="45">
        <f>I15+I49</f>
        <v>0</v>
      </c>
      <c r="AF15" s="45">
        <f>J15+J49</f>
        <v>546</v>
      </c>
      <c r="AG15" s="45">
        <f>K15+K49</f>
        <v>85</v>
      </c>
      <c r="AH15" s="45">
        <f>L15+L49</f>
        <v>3</v>
      </c>
      <c r="AI15" s="45">
        <f>M15+M49</f>
        <v>5</v>
      </c>
      <c r="AJ15" s="45">
        <f>N15+N49</f>
        <v>2</v>
      </c>
      <c r="AK15" s="45">
        <f>O15+O49</f>
        <v>0</v>
      </c>
      <c r="AL15" s="45">
        <f>P15+P49</f>
        <v>0</v>
      </c>
      <c r="AM15" s="45">
        <f>Q15+Q49</f>
        <v>1234</v>
      </c>
      <c r="AN15" s="45">
        <f>R15+R49</f>
        <v>325</v>
      </c>
      <c r="AO15" s="45">
        <f>S15+S49</f>
        <v>1559</v>
      </c>
      <c r="AP15" s="45">
        <f>T15+T49</f>
        <v>2</v>
      </c>
      <c r="AQ15" s="45">
        <f>U15+U49</f>
        <v>1559</v>
      </c>
      <c r="AR15" s="45">
        <f>V15+V49</f>
        <v>2112</v>
      </c>
    </row>
    <row r="16" spans="1:44" x14ac:dyDescent="0.3">
      <c r="A16" s="62" t="s">
        <v>215</v>
      </c>
      <c r="B16" s="108">
        <v>211</v>
      </c>
      <c r="C16" s="140">
        <v>22</v>
      </c>
      <c r="D16" s="108">
        <v>17</v>
      </c>
      <c r="E16" s="108">
        <v>23</v>
      </c>
      <c r="F16" s="108">
        <v>18</v>
      </c>
      <c r="G16" s="108">
        <v>25</v>
      </c>
      <c r="H16" s="108">
        <v>81</v>
      </c>
      <c r="I16" s="108">
        <v>0</v>
      </c>
      <c r="J16" s="108">
        <v>364</v>
      </c>
      <c r="K16" s="108">
        <v>43</v>
      </c>
      <c r="L16" s="108">
        <v>0</v>
      </c>
      <c r="M16" s="108">
        <v>2</v>
      </c>
      <c r="N16" s="108">
        <v>2</v>
      </c>
      <c r="O16" s="108">
        <v>0</v>
      </c>
      <c r="P16" s="108">
        <v>0</v>
      </c>
      <c r="Q16" s="63">
        <f t="shared" si="0"/>
        <v>642</v>
      </c>
      <c r="R16" s="45">
        <f t="shared" si="1"/>
        <v>166</v>
      </c>
      <c r="S16" s="45">
        <f t="shared" si="2"/>
        <v>808</v>
      </c>
      <c r="T16" s="45">
        <f t="shared" si="3"/>
        <v>2</v>
      </c>
      <c r="U16" s="45">
        <f t="shared" si="4"/>
        <v>808</v>
      </c>
      <c r="V16" s="46">
        <f t="shared" si="5"/>
        <v>1057</v>
      </c>
      <c r="W16" s="47" t="str">
        <f t="shared" si="6"/>
        <v>18:00-19:00</v>
      </c>
      <c r="X16" s="45">
        <f>B16+B50</f>
        <v>496</v>
      </c>
      <c r="Y16" s="45">
        <f>C16+C50</f>
        <v>35</v>
      </c>
      <c r="Z16" s="45">
        <f>D16+D50</f>
        <v>32</v>
      </c>
      <c r="AA16" s="45">
        <f>E16+E50</f>
        <v>50</v>
      </c>
      <c r="AB16" s="45">
        <f>F16+F50</f>
        <v>32</v>
      </c>
      <c r="AC16" s="45">
        <f>G16+G50</f>
        <v>62</v>
      </c>
      <c r="AD16" s="45">
        <f>H16+H50</f>
        <v>153</v>
      </c>
      <c r="AE16" s="45">
        <f>I16+I50</f>
        <v>0</v>
      </c>
      <c r="AF16" s="45">
        <f>J16+J50</f>
        <v>545</v>
      </c>
      <c r="AG16" s="45">
        <f>K16+K50</f>
        <v>79</v>
      </c>
      <c r="AH16" s="45">
        <f>L16+L50</f>
        <v>0</v>
      </c>
      <c r="AI16" s="45">
        <f>M16+M50</f>
        <v>4</v>
      </c>
      <c r="AJ16" s="45">
        <f>N16+N50</f>
        <v>2</v>
      </c>
      <c r="AK16" s="45">
        <f>O16+O50</f>
        <v>0</v>
      </c>
      <c r="AL16" s="45">
        <f>P16+P50</f>
        <v>0</v>
      </c>
      <c r="AM16" s="45">
        <f>Q16+Q50</f>
        <v>1157</v>
      </c>
      <c r="AN16" s="45">
        <f>R16+R50</f>
        <v>333</v>
      </c>
      <c r="AO16" s="45">
        <f>S16+S50</f>
        <v>1490</v>
      </c>
      <c r="AP16" s="45">
        <f>T16+T50</f>
        <v>2</v>
      </c>
      <c r="AQ16" s="45">
        <f>U16+U50</f>
        <v>1490</v>
      </c>
      <c r="AR16" s="45">
        <f>V16+V50</f>
        <v>2049</v>
      </c>
    </row>
    <row r="17" spans="1:44" x14ac:dyDescent="0.3">
      <c r="A17" s="62" t="s">
        <v>216</v>
      </c>
      <c r="B17" s="108">
        <v>169</v>
      </c>
      <c r="C17" s="140">
        <v>22</v>
      </c>
      <c r="D17" s="108">
        <v>16</v>
      </c>
      <c r="E17" s="108">
        <v>26</v>
      </c>
      <c r="F17" s="108">
        <v>13</v>
      </c>
      <c r="G17" s="108">
        <v>15</v>
      </c>
      <c r="H17" s="108">
        <v>83</v>
      </c>
      <c r="I17" s="108">
        <v>0</v>
      </c>
      <c r="J17" s="108">
        <v>272</v>
      </c>
      <c r="K17" s="108">
        <v>32</v>
      </c>
      <c r="L17" s="108">
        <v>0</v>
      </c>
      <c r="M17" s="108">
        <v>3</v>
      </c>
      <c r="N17" s="108">
        <v>0</v>
      </c>
      <c r="O17" s="108">
        <v>0</v>
      </c>
      <c r="P17" s="108">
        <v>0</v>
      </c>
      <c r="Q17" s="63">
        <f t="shared" si="0"/>
        <v>495</v>
      </c>
      <c r="R17" s="45">
        <f t="shared" si="1"/>
        <v>156</v>
      </c>
      <c r="S17" s="45">
        <f t="shared" si="2"/>
        <v>651</v>
      </c>
      <c r="T17" s="45">
        <f t="shared" si="3"/>
        <v>0</v>
      </c>
      <c r="U17" s="45">
        <f t="shared" si="4"/>
        <v>651</v>
      </c>
      <c r="V17" s="46">
        <f t="shared" si="5"/>
        <v>929</v>
      </c>
      <c r="W17" s="47" t="str">
        <f t="shared" si="6"/>
        <v>19:00-20:00</v>
      </c>
      <c r="X17" s="45">
        <f>B17+B51</f>
        <v>412</v>
      </c>
      <c r="Y17" s="45">
        <f>C17+C51</f>
        <v>41</v>
      </c>
      <c r="Z17" s="45">
        <f>D17+D51</f>
        <v>37</v>
      </c>
      <c r="AA17" s="45">
        <f>E17+E51</f>
        <v>41</v>
      </c>
      <c r="AB17" s="45">
        <f>F17+F51</f>
        <v>27</v>
      </c>
      <c r="AC17" s="45">
        <f>G17+G51</f>
        <v>47</v>
      </c>
      <c r="AD17" s="45">
        <f>H17+H51</f>
        <v>153</v>
      </c>
      <c r="AE17" s="45">
        <f>I17+I51</f>
        <v>0</v>
      </c>
      <c r="AF17" s="45">
        <f>J17+J51</f>
        <v>448</v>
      </c>
      <c r="AG17" s="45">
        <f>K17+K51</f>
        <v>54</v>
      </c>
      <c r="AH17" s="45">
        <f>L17+L51</f>
        <v>0</v>
      </c>
      <c r="AI17" s="45">
        <f>M17+M51</f>
        <v>3</v>
      </c>
      <c r="AJ17" s="45">
        <f>N17+N51</f>
        <v>0</v>
      </c>
      <c r="AK17" s="45">
        <f>O17+O51</f>
        <v>0</v>
      </c>
      <c r="AL17" s="45">
        <f>P17+P51</f>
        <v>0</v>
      </c>
      <c r="AM17" s="45">
        <f>Q17+Q51</f>
        <v>955</v>
      </c>
      <c r="AN17" s="45">
        <f>R17+R51</f>
        <v>308</v>
      </c>
      <c r="AO17" s="45">
        <f>S17+S51</f>
        <v>1263</v>
      </c>
      <c r="AP17" s="45">
        <f>T17+T51</f>
        <v>0</v>
      </c>
      <c r="AQ17" s="45">
        <f>U17+U51</f>
        <v>1263</v>
      </c>
      <c r="AR17" s="45">
        <f>V17+V51</f>
        <v>1835.5</v>
      </c>
    </row>
    <row r="18" spans="1:44" x14ac:dyDescent="0.3">
      <c r="A18" s="62" t="s">
        <v>217</v>
      </c>
      <c r="B18" s="108">
        <v>164</v>
      </c>
      <c r="C18" s="140">
        <v>26</v>
      </c>
      <c r="D18" s="108">
        <v>17</v>
      </c>
      <c r="E18" s="108">
        <v>21</v>
      </c>
      <c r="F18" s="108">
        <v>26</v>
      </c>
      <c r="G18" s="108">
        <v>26</v>
      </c>
      <c r="H18" s="108">
        <v>81</v>
      </c>
      <c r="I18" s="108">
        <v>0</v>
      </c>
      <c r="J18" s="108">
        <v>199</v>
      </c>
      <c r="K18" s="108">
        <v>17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63">
        <f t="shared" si="0"/>
        <v>406</v>
      </c>
      <c r="R18" s="45">
        <f t="shared" si="1"/>
        <v>171</v>
      </c>
      <c r="S18" s="45">
        <f t="shared" si="2"/>
        <v>577</v>
      </c>
      <c r="T18" s="45">
        <f t="shared" si="3"/>
        <v>0</v>
      </c>
      <c r="U18" s="45">
        <f t="shared" si="4"/>
        <v>577</v>
      </c>
      <c r="V18" s="46">
        <f t="shared" si="5"/>
        <v>927.5</v>
      </c>
      <c r="W18" s="47" t="str">
        <f t="shared" si="6"/>
        <v>20:00-21:00</v>
      </c>
      <c r="X18" s="45">
        <f>B18+B52</f>
        <v>341</v>
      </c>
      <c r="Y18" s="45">
        <f>C18+C52</f>
        <v>45</v>
      </c>
      <c r="Z18" s="45">
        <f>D18+D52</f>
        <v>24</v>
      </c>
      <c r="AA18" s="45">
        <f>E18+E52</f>
        <v>43</v>
      </c>
      <c r="AB18" s="45">
        <f>F18+F52</f>
        <v>42</v>
      </c>
      <c r="AC18" s="45">
        <f>G18+G52</f>
        <v>53</v>
      </c>
      <c r="AD18" s="45">
        <f>H18+H52</f>
        <v>127</v>
      </c>
      <c r="AE18" s="45">
        <f>I18+I52</f>
        <v>0</v>
      </c>
      <c r="AF18" s="45">
        <f>J18+J52</f>
        <v>322</v>
      </c>
      <c r="AG18" s="45">
        <f>K18+K52</f>
        <v>26</v>
      </c>
      <c r="AH18" s="45">
        <f>L18+L52</f>
        <v>0</v>
      </c>
      <c r="AI18" s="45">
        <f>M18+M52</f>
        <v>0</v>
      </c>
      <c r="AJ18" s="45">
        <f>N18+N52</f>
        <v>0</v>
      </c>
      <c r="AK18" s="45">
        <f>O18+O52</f>
        <v>0</v>
      </c>
      <c r="AL18" s="45">
        <f>P18+P52</f>
        <v>0</v>
      </c>
      <c r="AM18" s="45">
        <f>Q18+Q52</f>
        <v>734</v>
      </c>
      <c r="AN18" s="45">
        <f>R18+R52</f>
        <v>289</v>
      </c>
      <c r="AO18" s="45">
        <f>S18+S52</f>
        <v>1023</v>
      </c>
      <c r="AP18" s="45">
        <f>T18+T52</f>
        <v>0</v>
      </c>
      <c r="AQ18" s="45">
        <f>U18+U52</f>
        <v>1023</v>
      </c>
      <c r="AR18" s="45">
        <f>V18+V52</f>
        <v>1608</v>
      </c>
    </row>
    <row r="19" spans="1:44" x14ac:dyDescent="0.3">
      <c r="A19" s="62" t="s">
        <v>218</v>
      </c>
      <c r="B19" s="108">
        <v>81</v>
      </c>
      <c r="C19" s="142">
        <v>27</v>
      </c>
      <c r="D19" s="108">
        <v>21</v>
      </c>
      <c r="E19" s="108">
        <v>22</v>
      </c>
      <c r="F19" s="108">
        <v>12</v>
      </c>
      <c r="G19" s="108">
        <v>17</v>
      </c>
      <c r="H19" s="108">
        <v>97</v>
      </c>
      <c r="I19" s="108">
        <v>0</v>
      </c>
      <c r="J19" s="108">
        <v>114</v>
      </c>
      <c r="K19" s="108">
        <v>11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66">
        <f t="shared" si="0"/>
        <v>233</v>
      </c>
      <c r="R19" s="59">
        <f t="shared" si="1"/>
        <v>169</v>
      </c>
      <c r="S19" s="59">
        <f t="shared" si="2"/>
        <v>402</v>
      </c>
      <c r="T19" s="59">
        <f t="shared" si="3"/>
        <v>0</v>
      </c>
      <c r="U19" s="59">
        <f t="shared" si="4"/>
        <v>402</v>
      </c>
      <c r="V19" s="60">
        <f t="shared" si="5"/>
        <v>807.5</v>
      </c>
      <c r="W19" s="47" t="str">
        <f t="shared" si="6"/>
        <v>21:00-22:00</v>
      </c>
      <c r="X19" s="45">
        <f>B19+B53</f>
        <v>208</v>
      </c>
      <c r="Y19" s="45">
        <f>C19+C53</f>
        <v>36</v>
      </c>
      <c r="Z19" s="45">
        <f>D19+D53</f>
        <v>36</v>
      </c>
      <c r="AA19" s="45">
        <f>E19+E53</f>
        <v>46</v>
      </c>
      <c r="AB19" s="45">
        <f>F19+F53</f>
        <v>28</v>
      </c>
      <c r="AC19" s="45">
        <f>G19+G53</f>
        <v>38</v>
      </c>
      <c r="AD19" s="45">
        <f>H19+H53</f>
        <v>152</v>
      </c>
      <c r="AE19" s="45">
        <f>I19+I53</f>
        <v>0</v>
      </c>
      <c r="AF19" s="45">
        <f>J19+J53</f>
        <v>192</v>
      </c>
      <c r="AG19" s="45">
        <f>K19+K53</f>
        <v>19</v>
      </c>
      <c r="AH19" s="45">
        <f>L19+L53</f>
        <v>0</v>
      </c>
      <c r="AI19" s="45">
        <f>M19+M53</f>
        <v>2</v>
      </c>
      <c r="AJ19" s="45">
        <f>N19+N53</f>
        <v>2</v>
      </c>
      <c r="AK19" s="45">
        <f>O19+O53</f>
        <v>0</v>
      </c>
      <c r="AL19" s="45">
        <f>P19+P53</f>
        <v>0</v>
      </c>
      <c r="AM19" s="45">
        <f>Q19+Q53</f>
        <v>457</v>
      </c>
      <c r="AN19" s="45">
        <f>R19+R53</f>
        <v>302</v>
      </c>
      <c r="AO19" s="45">
        <f>S19+S53</f>
        <v>759</v>
      </c>
      <c r="AP19" s="45">
        <f>T19+T53</f>
        <v>2</v>
      </c>
      <c r="AQ19" s="45">
        <f>U19+U53</f>
        <v>759</v>
      </c>
      <c r="AR19" s="45">
        <f>V19+V53</f>
        <v>1428</v>
      </c>
    </row>
    <row r="20" spans="1:44" x14ac:dyDescent="0.3">
      <c r="A20" s="62" t="s">
        <v>219</v>
      </c>
      <c r="B20" s="108">
        <v>60</v>
      </c>
      <c r="C20" s="140">
        <v>11</v>
      </c>
      <c r="D20" s="108">
        <v>6</v>
      </c>
      <c r="E20" s="108">
        <v>15</v>
      </c>
      <c r="F20" s="108">
        <v>11</v>
      </c>
      <c r="G20" s="108">
        <v>23</v>
      </c>
      <c r="H20" s="108">
        <v>94</v>
      </c>
      <c r="I20" s="108">
        <v>0</v>
      </c>
      <c r="J20" s="108">
        <v>80</v>
      </c>
      <c r="K20" s="108">
        <v>14</v>
      </c>
      <c r="L20" s="108">
        <v>2</v>
      </c>
      <c r="M20" s="108">
        <v>2</v>
      </c>
      <c r="N20" s="108">
        <v>0</v>
      </c>
      <c r="O20" s="108">
        <v>0</v>
      </c>
      <c r="P20" s="108">
        <v>0</v>
      </c>
      <c r="Q20" s="66">
        <f t="shared" si="0"/>
        <v>165</v>
      </c>
      <c r="R20" s="59">
        <f t="shared" si="1"/>
        <v>153</v>
      </c>
      <c r="S20" s="59">
        <f t="shared" si="2"/>
        <v>318</v>
      </c>
      <c r="T20" s="59">
        <f t="shared" si="3"/>
        <v>0</v>
      </c>
      <c r="U20" s="59">
        <f t="shared" si="4"/>
        <v>318</v>
      </c>
      <c r="V20" s="60">
        <f t="shared" si="5"/>
        <v>712.5</v>
      </c>
      <c r="W20" s="47" t="str">
        <f t="shared" si="6"/>
        <v>22:00-23:00</v>
      </c>
      <c r="X20" s="45">
        <f>B20+B54</f>
        <v>127</v>
      </c>
      <c r="Y20" s="45">
        <f>C20+C54</f>
        <v>16</v>
      </c>
      <c r="Z20" s="45">
        <f>D20+D54</f>
        <v>15</v>
      </c>
      <c r="AA20" s="45">
        <f>E20+E54</f>
        <v>38</v>
      </c>
      <c r="AB20" s="45">
        <f>F20+F54</f>
        <v>25</v>
      </c>
      <c r="AC20" s="45">
        <f>G20+G54</f>
        <v>49</v>
      </c>
      <c r="AD20" s="45">
        <f>H20+H54</f>
        <v>137</v>
      </c>
      <c r="AE20" s="45">
        <f>I20+I54</f>
        <v>0</v>
      </c>
      <c r="AF20" s="45">
        <f>J20+J54</f>
        <v>139</v>
      </c>
      <c r="AG20" s="45">
        <f>K20+K54</f>
        <v>21</v>
      </c>
      <c r="AH20" s="45">
        <f>L20+L54</f>
        <v>2</v>
      </c>
      <c r="AI20" s="45">
        <f>M20+M54</f>
        <v>2</v>
      </c>
      <c r="AJ20" s="45">
        <f>N20+N54</f>
        <v>0</v>
      </c>
      <c r="AK20" s="45">
        <f>O20+O54</f>
        <v>0</v>
      </c>
      <c r="AL20" s="45">
        <f>P20+P54</f>
        <v>0</v>
      </c>
      <c r="AM20" s="45">
        <f>Q20+Q54</f>
        <v>303</v>
      </c>
      <c r="AN20" s="45">
        <f>R20+R54</f>
        <v>268</v>
      </c>
      <c r="AO20" s="45">
        <f>S20+S54</f>
        <v>571</v>
      </c>
      <c r="AP20" s="45">
        <f>T20+T54</f>
        <v>0</v>
      </c>
      <c r="AQ20" s="45">
        <f>U20+U54</f>
        <v>571</v>
      </c>
      <c r="AR20" s="45">
        <f>V20+V54</f>
        <v>1188</v>
      </c>
    </row>
    <row r="21" spans="1:44" x14ac:dyDescent="0.3">
      <c r="A21" s="62" t="s">
        <v>220</v>
      </c>
      <c r="B21" s="108">
        <v>34</v>
      </c>
      <c r="C21" s="140">
        <v>4</v>
      </c>
      <c r="D21" s="108">
        <v>7</v>
      </c>
      <c r="E21" s="108">
        <v>13</v>
      </c>
      <c r="F21" s="108">
        <v>11</v>
      </c>
      <c r="G21" s="108">
        <v>22</v>
      </c>
      <c r="H21" s="108">
        <v>75</v>
      </c>
      <c r="I21" s="108">
        <v>0</v>
      </c>
      <c r="J21" s="108">
        <v>23</v>
      </c>
      <c r="K21" s="108">
        <v>2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66">
        <f t="shared" si="0"/>
        <v>63</v>
      </c>
      <c r="R21" s="59">
        <f t="shared" si="1"/>
        <v>128</v>
      </c>
      <c r="S21" s="59">
        <f t="shared" si="2"/>
        <v>191</v>
      </c>
      <c r="T21" s="59">
        <f t="shared" si="3"/>
        <v>0</v>
      </c>
      <c r="U21" s="59">
        <f t="shared" si="4"/>
        <v>191</v>
      </c>
      <c r="V21" s="60">
        <f t="shared" si="5"/>
        <v>522.5</v>
      </c>
      <c r="W21" s="47" t="str">
        <f t="shared" si="6"/>
        <v>23:00-00:00</v>
      </c>
      <c r="X21" s="45">
        <f>B21+B55</f>
        <v>69</v>
      </c>
      <c r="Y21" s="45">
        <f>C21+C55</f>
        <v>7</v>
      </c>
      <c r="Z21" s="45">
        <f>D21+D55</f>
        <v>13</v>
      </c>
      <c r="AA21" s="45">
        <f>E21+E55</f>
        <v>22</v>
      </c>
      <c r="AB21" s="45">
        <f>F21+F55</f>
        <v>26</v>
      </c>
      <c r="AC21" s="45">
        <f>G21+G55</f>
        <v>44</v>
      </c>
      <c r="AD21" s="45">
        <f>H21+H55</f>
        <v>116</v>
      </c>
      <c r="AE21" s="45">
        <f>I21+I55</f>
        <v>0</v>
      </c>
      <c r="AF21" s="45">
        <f>J21+J55</f>
        <v>57</v>
      </c>
      <c r="AG21" s="45">
        <f>K21+K55</f>
        <v>5</v>
      </c>
      <c r="AH21" s="45">
        <f>L21+L55</f>
        <v>2</v>
      </c>
      <c r="AI21" s="45">
        <f>M21+M55</f>
        <v>0</v>
      </c>
      <c r="AJ21" s="45">
        <f>N21+N55</f>
        <v>0</v>
      </c>
      <c r="AK21" s="45">
        <f>O21+O55</f>
        <v>0</v>
      </c>
      <c r="AL21" s="45">
        <f>P21+P55</f>
        <v>0</v>
      </c>
      <c r="AM21" s="45">
        <f>Q21+Q55</f>
        <v>138</v>
      </c>
      <c r="AN21" s="45">
        <f>R21+R55</f>
        <v>223</v>
      </c>
      <c r="AO21" s="45">
        <f>S21+S55</f>
        <v>361</v>
      </c>
      <c r="AP21" s="45">
        <f>T21+T55</f>
        <v>0</v>
      </c>
      <c r="AQ21" s="45">
        <f>U21+U55</f>
        <v>361</v>
      </c>
      <c r="AR21" s="45">
        <f>V21+V55</f>
        <v>904.5</v>
      </c>
    </row>
    <row r="22" spans="1:44" x14ac:dyDescent="0.3">
      <c r="A22" s="62" t="s">
        <v>221</v>
      </c>
      <c r="B22" s="108">
        <v>18</v>
      </c>
      <c r="C22" s="140">
        <v>4</v>
      </c>
      <c r="D22" s="108">
        <v>9</v>
      </c>
      <c r="E22" s="108">
        <v>9</v>
      </c>
      <c r="F22" s="108">
        <v>21</v>
      </c>
      <c r="G22" s="108">
        <v>13</v>
      </c>
      <c r="H22" s="108">
        <v>95</v>
      </c>
      <c r="I22" s="108">
        <v>0</v>
      </c>
      <c r="J22" s="108">
        <v>14</v>
      </c>
      <c r="K22" s="108">
        <v>3</v>
      </c>
      <c r="L22" s="108">
        <v>0</v>
      </c>
      <c r="M22" s="108">
        <v>2</v>
      </c>
      <c r="N22" s="108">
        <v>0</v>
      </c>
      <c r="O22" s="108">
        <v>0</v>
      </c>
      <c r="P22" s="108">
        <v>0</v>
      </c>
      <c r="Q22" s="66">
        <f t="shared" si="0"/>
        <v>39</v>
      </c>
      <c r="R22" s="59">
        <f t="shared" si="1"/>
        <v>149</v>
      </c>
      <c r="S22" s="59">
        <f t="shared" si="2"/>
        <v>188</v>
      </c>
      <c r="T22" s="59">
        <f t="shared" si="3"/>
        <v>0</v>
      </c>
      <c r="U22" s="59">
        <f t="shared" si="4"/>
        <v>188</v>
      </c>
      <c r="V22" s="60">
        <f t="shared" si="5"/>
        <v>601</v>
      </c>
      <c r="W22" s="47" t="str">
        <f t="shared" si="6"/>
        <v>00:00-01:00</v>
      </c>
      <c r="X22" s="45">
        <f>B22+B56</f>
        <v>70</v>
      </c>
      <c r="Y22" s="45">
        <f>C22+C56</f>
        <v>9</v>
      </c>
      <c r="Z22" s="45">
        <f>D22+D56</f>
        <v>14</v>
      </c>
      <c r="AA22" s="45">
        <f>E22+E56</f>
        <v>16</v>
      </c>
      <c r="AB22" s="45">
        <f>F22+F56</f>
        <v>35</v>
      </c>
      <c r="AC22" s="45">
        <f>G22+G56</f>
        <v>27</v>
      </c>
      <c r="AD22" s="45">
        <f>H22+H56</f>
        <v>145</v>
      </c>
      <c r="AE22" s="45">
        <f>I22+I56</f>
        <v>0</v>
      </c>
      <c r="AF22" s="45">
        <f>J22+J56</f>
        <v>41</v>
      </c>
      <c r="AG22" s="45">
        <f>K22+K56</f>
        <v>6</v>
      </c>
      <c r="AH22" s="45">
        <f>L22+L56</f>
        <v>0</v>
      </c>
      <c r="AI22" s="45">
        <f>M22+M56</f>
        <v>2</v>
      </c>
      <c r="AJ22" s="45">
        <f>N22+N56</f>
        <v>0</v>
      </c>
      <c r="AK22" s="45">
        <f>O22+O56</f>
        <v>0</v>
      </c>
      <c r="AL22" s="45">
        <f>P22+P56</f>
        <v>0</v>
      </c>
      <c r="AM22" s="45">
        <f>Q22+Q56</f>
        <v>126</v>
      </c>
      <c r="AN22" s="45">
        <f>R22+R56</f>
        <v>239</v>
      </c>
      <c r="AO22" s="45">
        <f>S22+S56</f>
        <v>365</v>
      </c>
      <c r="AP22" s="45">
        <f>T22+T56</f>
        <v>0</v>
      </c>
      <c r="AQ22" s="45">
        <f>U22+U56</f>
        <v>365</v>
      </c>
      <c r="AR22" s="45">
        <f>V22+V56</f>
        <v>1009</v>
      </c>
    </row>
    <row r="23" spans="1:44" x14ac:dyDescent="0.3">
      <c r="A23" s="62" t="s">
        <v>222</v>
      </c>
      <c r="B23" s="108">
        <v>16</v>
      </c>
      <c r="C23" s="140">
        <v>4</v>
      </c>
      <c r="D23" s="108">
        <v>5</v>
      </c>
      <c r="E23" s="108">
        <v>7</v>
      </c>
      <c r="F23" s="108">
        <v>15</v>
      </c>
      <c r="G23" s="108">
        <v>10</v>
      </c>
      <c r="H23" s="108">
        <v>57</v>
      </c>
      <c r="I23" s="108">
        <v>0</v>
      </c>
      <c r="J23" s="108">
        <v>10</v>
      </c>
      <c r="K23" s="108">
        <v>4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0"/>
        <v>34</v>
      </c>
      <c r="R23" s="59">
        <f t="shared" si="1"/>
        <v>94</v>
      </c>
      <c r="S23" s="59">
        <f t="shared" si="2"/>
        <v>128</v>
      </c>
      <c r="T23" s="59">
        <f t="shared" si="3"/>
        <v>0</v>
      </c>
      <c r="U23" s="59">
        <f t="shared" si="4"/>
        <v>128</v>
      </c>
      <c r="V23" s="60">
        <f t="shared" si="5"/>
        <v>384</v>
      </c>
      <c r="W23" s="47" t="str">
        <f t="shared" si="6"/>
        <v>01:00-02:00</v>
      </c>
      <c r="X23" s="45">
        <f>B23+B57</f>
        <v>99</v>
      </c>
      <c r="Y23" s="45">
        <f>C23+C57</f>
        <v>18</v>
      </c>
      <c r="Z23" s="45">
        <f>D23+D57</f>
        <v>19</v>
      </c>
      <c r="AA23" s="45">
        <f>E23+E57</f>
        <v>14</v>
      </c>
      <c r="AB23" s="45">
        <f>F23+F57</f>
        <v>31</v>
      </c>
      <c r="AC23" s="45">
        <f>G23+G57</f>
        <v>33</v>
      </c>
      <c r="AD23" s="45">
        <f>H23+H57</f>
        <v>104</v>
      </c>
      <c r="AE23" s="45">
        <f>I23+I57</f>
        <v>0</v>
      </c>
      <c r="AF23" s="45">
        <f>J23+J57</f>
        <v>38</v>
      </c>
      <c r="AG23" s="45">
        <f>K23+K57</f>
        <v>8</v>
      </c>
      <c r="AH23" s="45">
        <f>L23+L57</f>
        <v>0</v>
      </c>
      <c r="AI23" s="45">
        <f>M23+M57</f>
        <v>0</v>
      </c>
      <c r="AJ23" s="45">
        <f>N23+N57</f>
        <v>0</v>
      </c>
      <c r="AK23" s="45">
        <f>O23+O57</f>
        <v>0</v>
      </c>
      <c r="AL23" s="45">
        <f>P23+P57</f>
        <v>0</v>
      </c>
      <c r="AM23" s="45">
        <f>Q23+Q57</f>
        <v>163</v>
      </c>
      <c r="AN23" s="45">
        <f>R23+R57</f>
        <v>201</v>
      </c>
      <c r="AO23" s="45">
        <f>S23+S57</f>
        <v>364</v>
      </c>
      <c r="AP23" s="45">
        <f>T23+T57</f>
        <v>0</v>
      </c>
      <c r="AQ23" s="45">
        <f>U23+U57</f>
        <v>364</v>
      </c>
      <c r="AR23" s="45">
        <f>V23+V57</f>
        <v>880</v>
      </c>
    </row>
    <row r="24" spans="1:44" x14ac:dyDescent="0.3">
      <c r="A24" s="62" t="s">
        <v>223</v>
      </c>
      <c r="B24" s="108">
        <v>15</v>
      </c>
      <c r="C24" s="140">
        <v>0</v>
      </c>
      <c r="D24" s="108">
        <v>5</v>
      </c>
      <c r="E24" s="108">
        <v>10</v>
      </c>
      <c r="F24" s="108">
        <v>9</v>
      </c>
      <c r="G24" s="108">
        <v>8</v>
      </c>
      <c r="H24" s="108">
        <v>49</v>
      </c>
      <c r="I24" s="108">
        <v>0</v>
      </c>
      <c r="J24" s="108">
        <v>11</v>
      </c>
      <c r="K24" s="108">
        <v>3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0"/>
        <v>29</v>
      </c>
      <c r="R24" s="59">
        <f t="shared" si="1"/>
        <v>81</v>
      </c>
      <c r="S24" s="59">
        <f t="shared" si="2"/>
        <v>110</v>
      </c>
      <c r="T24" s="59">
        <f t="shared" si="3"/>
        <v>0</v>
      </c>
      <c r="U24" s="59">
        <f t="shared" si="4"/>
        <v>110</v>
      </c>
      <c r="V24" s="60">
        <f t="shared" si="5"/>
        <v>315</v>
      </c>
      <c r="W24" s="47" t="str">
        <f t="shared" si="6"/>
        <v>02:00-03:00</v>
      </c>
      <c r="X24" s="45">
        <f>B24+B58</f>
        <v>32</v>
      </c>
      <c r="Y24" s="45">
        <f>C24+C58</f>
        <v>5</v>
      </c>
      <c r="Z24" s="45">
        <f>D24+D58</f>
        <v>12</v>
      </c>
      <c r="AA24" s="45">
        <f>E24+E58</f>
        <v>33</v>
      </c>
      <c r="AB24" s="45">
        <f>F24+F58</f>
        <v>19</v>
      </c>
      <c r="AC24" s="45">
        <f>G24+G58</f>
        <v>35</v>
      </c>
      <c r="AD24" s="45">
        <f>H24+H58</f>
        <v>85</v>
      </c>
      <c r="AE24" s="45">
        <f>I24+I58</f>
        <v>0</v>
      </c>
      <c r="AF24" s="45">
        <f>J24+J58</f>
        <v>32</v>
      </c>
      <c r="AG24" s="45">
        <f>K24+K58</f>
        <v>5</v>
      </c>
      <c r="AH24" s="45">
        <f>L24+L58</f>
        <v>0</v>
      </c>
      <c r="AI24" s="45">
        <f>M24+M58</f>
        <v>0</v>
      </c>
      <c r="AJ24" s="45">
        <f>N24+N58</f>
        <v>0</v>
      </c>
      <c r="AK24" s="45">
        <f>O24+O58</f>
        <v>0</v>
      </c>
      <c r="AL24" s="45">
        <f>P24+P58</f>
        <v>0</v>
      </c>
      <c r="AM24" s="45">
        <f>Q24+Q58</f>
        <v>74</v>
      </c>
      <c r="AN24" s="45">
        <f>R24+R58</f>
        <v>184</v>
      </c>
      <c r="AO24" s="45">
        <f>S24+S58</f>
        <v>258</v>
      </c>
      <c r="AP24" s="45">
        <f>T24+T58</f>
        <v>0</v>
      </c>
      <c r="AQ24" s="45">
        <f>U24+U58</f>
        <v>258</v>
      </c>
      <c r="AR24" s="45">
        <f>V24+V58</f>
        <v>674</v>
      </c>
    </row>
    <row r="25" spans="1:44" x14ac:dyDescent="0.3">
      <c r="A25" s="62" t="s">
        <v>224</v>
      </c>
      <c r="B25" s="108">
        <v>17</v>
      </c>
      <c r="C25" s="140">
        <v>2</v>
      </c>
      <c r="D25" s="108">
        <v>8</v>
      </c>
      <c r="E25" s="108">
        <v>13</v>
      </c>
      <c r="F25" s="108">
        <v>10</v>
      </c>
      <c r="G25" s="108">
        <v>9</v>
      </c>
      <c r="H25" s="108">
        <v>45</v>
      </c>
      <c r="I25" s="108">
        <v>0</v>
      </c>
      <c r="J25" s="108">
        <v>16</v>
      </c>
      <c r="K25" s="108">
        <v>9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0"/>
        <v>44</v>
      </c>
      <c r="R25" s="59">
        <f t="shared" si="1"/>
        <v>85</v>
      </c>
      <c r="S25" s="59">
        <f t="shared" si="2"/>
        <v>129</v>
      </c>
      <c r="T25" s="59">
        <f t="shared" si="3"/>
        <v>0</v>
      </c>
      <c r="U25" s="59">
        <f t="shared" si="4"/>
        <v>129</v>
      </c>
      <c r="V25" s="60">
        <f t="shared" si="5"/>
        <v>327</v>
      </c>
      <c r="W25" s="47" t="str">
        <f t="shared" si="6"/>
        <v>03:00-04:00</v>
      </c>
      <c r="X25" s="45">
        <f>B25+B59</f>
        <v>28</v>
      </c>
      <c r="Y25" s="45">
        <f>C25+C59</f>
        <v>9</v>
      </c>
      <c r="Z25" s="45">
        <f>D25+D59</f>
        <v>15</v>
      </c>
      <c r="AA25" s="45">
        <f>E25+E59</f>
        <v>24</v>
      </c>
      <c r="AB25" s="45">
        <f>F25+F59</f>
        <v>14</v>
      </c>
      <c r="AC25" s="45">
        <f>G25+G59</f>
        <v>27</v>
      </c>
      <c r="AD25" s="45">
        <f>H25+H59</f>
        <v>80</v>
      </c>
      <c r="AE25" s="45">
        <f>I25+I59</f>
        <v>0</v>
      </c>
      <c r="AF25" s="45">
        <f>J25+J59</f>
        <v>44</v>
      </c>
      <c r="AG25" s="45">
        <f>K25+K59</f>
        <v>11</v>
      </c>
      <c r="AH25" s="45">
        <f>L25+L59</f>
        <v>0</v>
      </c>
      <c r="AI25" s="45">
        <f>M25+M59</f>
        <v>0</v>
      </c>
      <c r="AJ25" s="45">
        <f>N25+N59</f>
        <v>0</v>
      </c>
      <c r="AK25" s="45">
        <f>O25+O59</f>
        <v>0</v>
      </c>
      <c r="AL25" s="45">
        <f>P25+P59</f>
        <v>0</v>
      </c>
      <c r="AM25" s="45">
        <f>Q25+Q59</f>
        <v>92</v>
      </c>
      <c r="AN25" s="45">
        <f>R25+R59</f>
        <v>160</v>
      </c>
      <c r="AO25" s="45">
        <f>S25+S59</f>
        <v>252</v>
      </c>
      <c r="AP25" s="45">
        <f>T25+T59</f>
        <v>0</v>
      </c>
      <c r="AQ25" s="45">
        <f>U25+U59</f>
        <v>252</v>
      </c>
      <c r="AR25" s="45">
        <f>V25+V59</f>
        <v>622</v>
      </c>
    </row>
    <row r="26" spans="1:44" x14ac:dyDescent="0.3">
      <c r="A26" s="62" t="s">
        <v>225</v>
      </c>
      <c r="B26" s="108">
        <v>24</v>
      </c>
      <c r="C26" s="140">
        <v>0</v>
      </c>
      <c r="D26" s="108">
        <v>7</v>
      </c>
      <c r="E26" s="108">
        <v>4</v>
      </c>
      <c r="F26" s="108">
        <v>10</v>
      </c>
      <c r="G26" s="108">
        <v>10</v>
      </c>
      <c r="H26" s="108">
        <v>63</v>
      </c>
      <c r="I26" s="108">
        <v>0</v>
      </c>
      <c r="J26" s="108">
        <v>35</v>
      </c>
      <c r="K26" s="108">
        <v>18</v>
      </c>
      <c r="L26" s="108">
        <v>0</v>
      </c>
      <c r="M26" s="108">
        <v>2</v>
      </c>
      <c r="N26" s="108">
        <v>0</v>
      </c>
      <c r="O26" s="108">
        <v>0</v>
      </c>
      <c r="P26" s="108">
        <v>0</v>
      </c>
      <c r="Q26" s="66">
        <f t="shared" si="0"/>
        <v>77</v>
      </c>
      <c r="R26" s="59">
        <f t="shared" si="1"/>
        <v>96</v>
      </c>
      <c r="S26" s="59">
        <f t="shared" si="2"/>
        <v>173</v>
      </c>
      <c r="T26" s="59">
        <f t="shared" si="3"/>
        <v>0</v>
      </c>
      <c r="U26" s="59">
        <f t="shared" si="4"/>
        <v>173</v>
      </c>
      <c r="V26" s="60">
        <f t="shared" si="5"/>
        <v>425</v>
      </c>
      <c r="W26" s="47" t="str">
        <f t="shared" si="6"/>
        <v>04:00-05:00</v>
      </c>
      <c r="X26" s="45">
        <f>B26+B60</f>
        <v>34</v>
      </c>
      <c r="Y26" s="45">
        <f>C26+C60</f>
        <v>6</v>
      </c>
      <c r="Z26" s="45">
        <f>D26+D60</f>
        <v>15</v>
      </c>
      <c r="AA26" s="45">
        <f>E26+E60</f>
        <v>15</v>
      </c>
      <c r="AB26" s="45">
        <f>F26+F60</f>
        <v>28</v>
      </c>
      <c r="AC26" s="45">
        <f>G26+G60</f>
        <v>33</v>
      </c>
      <c r="AD26" s="45">
        <f>H26+H60</f>
        <v>105</v>
      </c>
      <c r="AE26" s="45">
        <f>I26+I60</f>
        <v>0</v>
      </c>
      <c r="AF26" s="45">
        <f>J26+J60</f>
        <v>76</v>
      </c>
      <c r="AG26" s="45">
        <f>K26+K60</f>
        <v>21</v>
      </c>
      <c r="AH26" s="45">
        <f>L26+L60</f>
        <v>0</v>
      </c>
      <c r="AI26" s="45">
        <f>M26+M60</f>
        <v>2</v>
      </c>
      <c r="AJ26" s="45">
        <f>N26+N60</f>
        <v>3</v>
      </c>
      <c r="AK26" s="45">
        <f>O26+O60</f>
        <v>0</v>
      </c>
      <c r="AL26" s="45">
        <f>P26+P60</f>
        <v>0</v>
      </c>
      <c r="AM26" s="45">
        <f>Q26+Q60</f>
        <v>140</v>
      </c>
      <c r="AN26" s="45">
        <f>R26+R60</f>
        <v>198</v>
      </c>
      <c r="AO26" s="45">
        <f>S26+S60</f>
        <v>338</v>
      </c>
      <c r="AP26" s="45">
        <f>T26+T60</f>
        <v>3</v>
      </c>
      <c r="AQ26" s="45">
        <f>U26+U60</f>
        <v>338</v>
      </c>
      <c r="AR26" s="45">
        <f>V26+V60</f>
        <v>814.5</v>
      </c>
    </row>
    <row r="27" spans="1:44" x14ac:dyDescent="0.3">
      <c r="A27" s="62" t="s">
        <v>226</v>
      </c>
      <c r="B27" s="108">
        <v>63</v>
      </c>
      <c r="C27" s="140">
        <v>4</v>
      </c>
      <c r="D27" s="108">
        <v>17</v>
      </c>
      <c r="E27" s="108">
        <v>16</v>
      </c>
      <c r="F27" s="108">
        <v>14</v>
      </c>
      <c r="G27" s="108">
        <v>18</v>
      </c>
      <c r="H27" s="108">
        <v>78</v>
      </c>
      <c r="I27" s="108">
        <v>0</v>
      </c>
      <c r="J27" s="108">
        <v>94</v>
      </c>
      <c r="K27" s="108">
        <v>15</v>
      </c>
      <c r="L27" s="108">
        <v>0</v>
      </c>
      <c r="M27" s="108">
        <v>5</v>
      </c>
      <c r="N27" s="108">
        <v>2</v>
      </c>
      <c r="O27" s="108">
        <v>0</v>
      </c>
      <c r="P27" s="108">
        <v>0</v>
      </c>
      <c r="Q27" s="66">
        <f t="shared" si="0"/>
        <v>178</v>
      </c>
      <c r="R27" s="59">
        <f t="shared" si="1"/>
        <v>148</v>
      </c>
      <c r="S27" s="59">
        <f t="shared" si="2"/>
        <v>326</v>
      </c>
      <c r="T27" s="59">
        <f t="shared" si="3"/>
        <v>2</v>
      </c>
      <c r="U27" s="59">
        <f t="shared" si="4"/>
        <v>326</v>
      </c>
      <c r="V27" s="60">
        <f t="shared" si="5"/>
        <v>648.5</v>
      </c>
      <c r="W27" s="47" t="str">
        <f t="shared" si="6"/>
        <v>05:00-06:00</v>
      </c>
      <c r="X27" s="45">
        <f>B27+B61</f>
        <v>113</v>
      </c>
      <c r="Y27" s="45">
        <f>C27+C61</f>
        <v>32</v>
      </c>
      <c r="Z27" s="45">
        <f>D27+D61</f>
        <v>31</v>
      </c>
      <c r="AA27" s="45">
        <f>E27+E61</f>
        <v>34</v>
      </c>
      <c r="AB27" s="45">
        <f>F27+F61</f>
        <v>30</v>
      </c>
      <c r="AC27" s="45">
        <f>G27+G61</f>
        <v>62</v>
      </c>
      <c r="AD27" s="45">
        <f>H27+H61</f>
        <v>159</v>
      </c>
      <c r="AE27" s="45">
        <f>I27+I61</f>
        <v>0</v>
      </c>
      <c r="AF27" s="45">
        <f>J27+J61</f>
        <v>186</v>
      </c>
      <c r="AG27" s="45">
        <f>K27+K61</f>
        <v>24</v>
      </c>
      <c r="AH27" s="45">
        <f>L27+L61</f>
        <v>0</v>
      </c>
      <c r="AI27" s="45">
        <f>M27+M61</f>
        <v>5</v>
      </c>
      <c r="AJ27" s="45">
        <f>N27+N61</f>
        <v>5</v>
      </c>
      <c r="AK27" s="45">
        <f>O27+O61</f>
        <v>0</v>
      </c>
      <c r="AL27" s="45">
        <f>P27+P61</f>
        <v>0</v>
      </c>
      <c r="AM27" s="45">
        <f>Q27+Q61</f>
        <v>360</v>
      </c>
      <c r="AN27" s="45">
        <f>R27+R61</f>
        <v>321</v>
      </c>
      <c r="AO27" s="45">
        <f>S27+S61</f>
        <v>681</v>
      </c>
      <c r="AP27" s="45">
        <f>T27+T61</f>
        <v>5</v>
      </c>
      <c r="AQ27" s="45">
        <f>U27+U61</f>
        <v>681</v>
      </c>
      <c r="AR27" s="45">
        <f>V27+V61</f>
        <v>1424.5</v>
      </c>
    </row>
    <row r="28" spans="1:44" x14ac:dyDescent="0.3">
      <c r="A28" s="62" t="s">
        <v>227</v>
      </c>
      <c r="B28" s="108">
        <v>83</v>
      </c>
      <c r="C28" s="140">
        <v>17</v>
      </c>
      <c r="D28" s="108">
        <v>6</v>
      </c>
      <c r="E28" s="108">
        <v>15</v>
      </c>
      <c r="F28" s="108">
        <v>21</v>
      </c>
      <c r="G28" s="108">
        <v>12</v>
      </c>
      <c r="H28" s="108">
        <v>57</v>
      </c>
      <c r="I28" s="108">
        <v>0</v>
      </c>
      <c r="J28" s="108">
        <v>249</v>
      </c>
      <c r="K28" s="108">
        <v>18</v>
      </c>
      <c r="L28" s="108">
        <v>3</v>
      </c>
      <c r="M28" s="108">
        <v>2</v>
      </c>
      <c r="N28" s="108">
        <v>0</v>
      </c>
      <c r="O28" s="108">
        <v>0</v>
      </c>
      <c r="P28" s="108">
        <v>2</v>
      </c>
      <c r="Q28" s="66">
        <f t="shared" si="0"/>
        <v>367</v>
      </c>
      <c r="R28" s="59">
        <f t="shared" si="1"/>
        <v>118</v>
      </c>
      <c r="S28" s="59">
        <f t="shared" si="2"/>
        <v>485</v>
      </c>
      <c r="T28" s="59">
        <f t="shared" si="3"/>
        <v>0</v>
      </c>
      <c r="U28" s="59">
        <f t="shared" si="4"/>
        <v>485</v>
      </c>
      <c r="V28" s="60">
        <f t="shared" si="5"/>
        <v>683</v>
      </c>
      <c r="W28" s="47" t="str">
        <f t="shared" si="6"/>
        <v>06:00-07:00</v>
      </c>
      <c r="X28" s="45">
        <f>B28+B62</f>
        <v>167</v>
      </c>
      <c r="Y28" s="45">
        <f>C28+C62</f>
        <v>43</v>
      </c>
      <c r="Z28" s="45">
        <f>D28+D62</f>
        <v>12</v>
      </c>
      <c r="AA28" s="45">
        <f>E28+E62</f>
        <v>40</v>
      </c>
      <c r="AB28" s="45">
        <f>F28+F62</f>
        <v>47</v>
      </c>
      <c r="AC28" s="45">
        <f>G28+G62</f>
        <v>63</v>
      </c>
      <c r="AD28" s="45">
        <f>H28+H62</f>
        <v>132</v>
      </c>
      <c r="AE28" s="45">
        <f>I28+I62</f>
        <v>0</v>
      </c>
      <c r="AF28" s="45">
        <f>J28+J62</f>
        <v>382</v>
      </c>
      <c r="AG28" s="45">
        <f>K28+K62</f>
        <v>33</v>
      </c>
      <c r="AH28" s="45">
        <f>L28+L62</f>
        <v>3</v>
      </c>
      <c r="AI28" s="45">
        <f>M28+M62</f>
        <v>2</v>
      </c>
      <c r="AJ28" s="45">
        <f>N28+N62</f>
        <v>0</v>
      </c>
      <c r="AK28" s="45">
        <f>O28+O62</f>
        <v>0</v>
      </c>
      <c r="AL28" s="45">
        <f>P28+P62</f>
        <v>2</v>
      </c>
      <c r="AM28" s="45">
        <f>Q28+Q62</f>
        <v>625</v>
      </c>
      <c r="AN28" s="45">
        <f>R28+R62</f>
        <v>301</v>
      </c>
      <c r="AO28" s="45">
        <f>S28+S62</f>
        <v>926</v>
      </c>
      <c r="AP28" s="45">
        <f>T28+T62</f>
        <v>0</v>
      </c>
      <c r="AQ28" s="45">
        <f>U28+U62</f>
        <v>926</v>
      </c>
      <c r="AR28" s="45">
        <f>V28+V62</f>
        <v>1538.5</v>
      </c>
    </row>
    <row r="29" spans="1:44" x14ac:dyDescent="0.3">
      <c r="A29" s="62" t="s">
        <v>228</v>
      </c>
      <c r="B29" s="108">
        <v>139</v>
      </c>
      <c r="C29" s="140">
        <v>26</v>
      </c>
      <c r="D29" s="108">
        <v>13</v>
      </c>
      <c r="E29" s="108">
        <v>15</v>
      </c>
      <c r="F29" s="108">
        <v>13</v>
      </c>
      <c r="G29" s="108">
        <v>16</v>
      </c>
      <c r="H29" s="108">
        <v>53</v>
      </c>
      <c r="I29" s="108">
        <v>0</v>
      </c>
      <c r="J29" s="108">
        <v>319</v>
      </c>
      <c r="K29" s="108">
        <v>48</v>
      </c>
      <c r="L29" s="108">
        <v>2</v>
      </c>
      <c r="M29" s="108">
        <v>3</v>
      </c>
      <c r="N29" s="108">
        <v>2</v>
      </c>
      <c r="O29" s="108">
        <v>0</v>
      </c>
      <c r="P29" s="108">
        <v>0</v>
      </c>
      <c r="Q29" s="66">
        <f t="shared" si="0"/>
        <v>534</v>
      </c>
      <c r="R29" s="59">
        <f t="shared" si="1"/>
        <v>115</v>
      </c>
      <c r="S29" s="59">
        <f t="shared" si="2"/>
        <v>649</v>
      </c>
      <c r="T29" s="59">
        <f t="shared" si="3"/>
        <v>2</v>
      </c>
      <c r="U29" s="59">
        <f t="shared" si="4"/>
        <v>649</v>
      </c>
      <c r="V29" s="60">
        <f t="shared" si="5"/>
        <v>803</v>
      </c>
      <c r="W29" s="47" t="str">
        <f t="shared" si="6"/>
        <v>07:00-08:00</v>
      </c>
      <c r="X29" s="45">
        <f>B29+B63</f>
        <v>268</v>
      </c>
      <c r="Y29" s="45">
        <f>C29+C63</f>
        <v>55</v>
      </c>
      <c r="Z29" s="45">
        <f>D29+D63</f>
        <v>24</v>
      </c>
      <c r="AA29" s="45">
        <f>E29+E63</f>
        <v>33</v>
      </c>
      <c r="AB29" s="45">
        <f>F29+F63</f>
        <v>39</v>
      </c>
      <c r="AC29" s="45">
        <f>G29+G63</f>
        <v>59</v>
      </c>
      <c r="AD29" s="45">
        <f>H29+H63</f>
        <v>105</v>
      </c>
      <c r="AE29" s="45">
        <f>I29+I63</f>
        <v>0</v>
      </c>
      <c r="AF29" s="45">
        <f>J29+J63</f>
        <v>536</v>
      </c>
      <c r="AG29" s="45">
        <f>K29+K63</f>
        <v>73</v>
      </c>
      <c r="AH29" s="45">
        <f>L29+L63</f>
        <v>2</v>
      </c>
      <c r="AI29" s="45">
        <f>M29+M63</f>
        <v>6</v>
      </c>
      <c r="AJ29" s="45">
        <f>N29+N63</f>
        <v>2</v>
      </c>
      <c r="AK29" s="45">
        <f>O29+O63</f>
        <v>0</v>
      </c>
      <c r="AL29" s="45">
        <f>P29+P63</f>
        <v>0</v>
      </c>
      <c r="AM29" s="45">
        <f>Q29+Q63</f>
        <v>934</v>
      </c>
      <c r="AN29" s="45">
        <f>R29+R63</f>
        <v>268</v>
      </c>
      <c r="AO29" s="45">
        <f>S29+S63</f>
        <v>1202</v>
      </c>
      <c r="AP29" s="45">
        <f>T29+T63</f>
        <v>2</v>
      </c>
      <c r="AQ29" s="45">
        <f>U29+U63</f>
        <v>1202</v>
      </c>
      <c r="AR29" s="45">
        <f>V29+V63</f>
        <v>1645</v>
      </c>
    </row>
    <row r="30" spans="1:44" x14ac:dyDescent="0.3">
      <c r="A30" s="62" t="s">
        <v>229</v>
      </c>
      <c r="B30" s="108">
        <v>146</v>
      </c>
      <c r="C30" s="140">
        <v>31</v>
      </c>
      <c r="D30" s="108">
        <v>14</v>
      </c>
      <c r="E30" s="108">
        <v>17</v>
      </c>
      <c r="F30" s="108">
        <v>7</v>
      </c>
      <c r="G30" s="108">
        <v>23</v>
      </c>
      <c r="H30" s="108">
        <v>47</v>
      </c>
      <c r="I30" s="108">
        <v>0</v>
      </c>
      <c r="J30" s="108">
        <v>333</v>
      </c>
      <c r="K30" s="108">
        <v>78</v>
      </c>
      <c r="L30" s="108">
        <v>2</v>
      </c>
      <c r="M30" s="108">
        <v>2</v>
      </c>
      <c r="N30" s="108">
        <v>0</v>
      </c>
      <c r="O30" s="108">
        <v>0</v>
      </c>
      <c r="P30" s="108">
        <v>0</v>
      </c>
      <c r="Q30" s="66">
        <f t="shared" si="0"/>
        <v>588</v>
      </c>
      <c r="R30" s="59">
        <f t="shared" si="1"/>
        <v>112</v>
      </c>
      <c r="S30" s="59">
        <f t="shared" si="2"/>
        <v>700</v>
      </c>
      <c r="T30" s="59">
        <f t="shared" si="3"/>
        <v>0</v>
      </c>
      <c r="U30" s="59">
        <f t="shared" si="4"/>
        <v>700</v>
      </c>
      <c r="V30" s="60">
        <f t="shared" si="5"/>
        <v>836.5</v>
      </c>
      <c r="W30" s="47" t="str">
        <f t="shared" si="6"/>
        <v>08:00-09:00</v>
      </c>
      <c r="X30" s="45">
        <f>B30+B64</f>
        <v>328</v>
      </c>
      <c r="Y30" s="45">
        <f>C30+C64</f>
        <v>81</v>
      </c>
      <c r="Z30" s="45">
        <f>D30+D64</f>
        <v>33</v>
      </c>
      <c r="AA30" s="45">
        <f>E30+E64</f>
        <v>44</v>
      </c>
      <c r="AB30" s="45">
        <f>F30+F64</f>
        <v>23</v>
      </c>
      <c r="AC30" s="45">
        <f>G30+G64</f>
        <v>59</v>
      </c>
      <c r="AD30" s="45">
        <f>H30+H64</f>
        <v>116</v>
      </c>
      <c r="AE30" s="45">
        <f>I30+I64</f>
        <v>0</v>
      </c>
      <c r="AF30" s="45">
        <f>J30+J64</f>
        <v>604</v>
      </c>
      <c r="AG30" s="45">
        <f>K30+K64</f>
        <v>122</v>
      </c>
      <c r="AH30" s="45">
        <f>L30+L64</f>
        <v>2</v>
      </c>
      <c r="AI30" s="45">
        <f>M30+M64</f>
        <v>8</v>
      </c>
      <c r="AJ30" s="45">
        <f>N30+N64</f>
        <v>3</v>
      </c>
      <c r="AK30" s="45">
        <f>O30+O64</f>
        <v>0</v>
      </c>
      <c r="AL30" s="45">
        <f>P30+P64</f>
        <v>0</v>
      </c>
      <c r="AM30" s="45">
        <f>Q30+Q64</f>
        <v>1138</v>
      </c>
      <c r="AN30" s="45">
        <f>R30+R64</f>
        <v>285</v>
      </c>
      <c r="AO30" s="45">
        <f>S30+S64</f>
        <v>1423</v>
      </c>
      <c r="AP30" s="45">
        <f>T30+T64</f>
        <v>3</v>
      </c>
      <c r="AQ30" s="45">
        <f>U30+U64</f>
        <v>1423</v>
      </c>
      <c r="AR30" s="45">
        <f>V30+V64</f>
        <v>1902.5</v>
      </c>
    </row>
    <row r="31" spans="1:44" x14ac:dyDescent="0.3">
      <c r="A31" s="62" t="s">
        <v>230</v>
      </c>
      <c r="B31" s="108">
        <v>187</v>
      </c>
      <c r="C31" s="140">
        <v>24</v>
      </c>
      <c r="D31" s="108">
        <v>18</v>
      </c>
      <c r="E31" s="108">
        <v>18</v>
      </c>
      <c r="F31" s="108">
        <v>13</v>
      </c>
      <c r="G31" s="108">
        <v>27</v>
      </c>
      <c r="H31" s="108">
        <v>59</v>
      </c>
      <c r="I31" s="108">
        <v>0</v>
      </c>
      <c r="J31" s="108">
        <v>286</v>
      </c>
      <c r="K31" s="108">
        <v>57</v>
      </c>
      <c r="L31" s="108">
        <v>0</v>
      </c>
      <c r="M31" s="108">
        <v>4</v>
      </c>
      <c r="N31" s="108">
        <v>0</v>
      </c>
      <c r="O31" s="108">
        <v>0</v>
      </c>
      <c r="P31" s="108">
        <v>0</v>
      </c>
      <c r="Q31" s="66">
        <f t="shared" si="0"/>
        <v>554</v>
      </c>
      <c r="R31" s="59">
        <f t="shared" si="1"/>
        <v>139</v>
      </c>
      <c r="S31" s="59">
        <f t="shared" si="2"/>
        <v>693</v>
      </c>
      <c r="T31" s="59">
        <f t="shared" si="3"/>
        <v>0</v>
      </c>
      <c r="U31" s="59">
        <f t="shared" si="4"/>
        <v>693</v>
      </c>
      <c r="V31" s="60">
        <f t="shared" si="5"/>
        <v>907.5</v>
      </c>
      <c r="W31" s="47" t="str">
        <f t="shared" si="6"/>
        <v>09:00-10:00</v>
      </c>
      <c r="X31" s="45">
        <f>B31+B65</f>
        <v>458</v>
      </c>
      <c r="Y31" s="45">
        <f>C31+C65</f>
        <v>53</v>
      </c>
      <c r="Z31" s="45">
        <f>D31+D65</f>
        <v>28</v>
      </c>
      <c r="AA31" s="45">
        <f>E31+E65</f>
        <v>35</v>
      </c>
      <c r="AB31" s="45">
        <f>F31+F65</f>
        <v>25</v>
      </c>
      <c r="AC31" s="45">
        <f>G31+G65</f>
        <v>57</v>
      </c>
      <c r="AD31" s="45">
        <f>H31+H65</f>
        <v>119</v>
      </c>
      <c r="AE31" s="45">
        <f>I31+I65</f>
        <v>0</v>
      </c>
      <c r="AF31" s="45">
        <f>J31+J65</f>
        <v>558</v>
      </c>
      <c r="AG31" s="45">
        <f>K31+K65</f>
        <v>127</v>
      </c>
      <c r="AH31" s="45">
        <f>L31+L65</f>
        <v>0</v>
      </c>
      <c r="AI31" s="45">
        <f>M31+M65</f>
        <v>8</v>
      </c>
      <c r="AJ31" s="45">
        <f>N31+N65</f>
        <v>0</v>
      </c>
      <c r="AK31" s="45">
        <f>O31+O65</f>
        <v>0</v>
      </c>
      <c r="AL31" s="45">
        <f>P31+P65</f>
        <v>0</v>
      </c>
      <c r="AM31" s="45">
        <f>Q31+Q65</f>
        <v>1196</v>
      </c>
      <c r="AN31" s="45">
        <f>R31+R65</f>
        <v>272</v>
      </c>
      <c r="AO31" s="45">
        <f>S31+S65</f>
        <v>1468</v>
      </c>
      <c r="AP31" s="45">
        <f>T31+T65</f>
        <v>0</v>
      </c>
      <c r="AQ31" s="45">
        <f>U31+U65</f>
        <v>1468</v>
      </c>
      <c r="AR31" s="45">
        <f>V31+V65</f>
        <v>1921</v>
      </c>
    </row>
    <row r="32" spans="1:44" x14ac:dyDescent="0.3">
      <c r="A32" s="62" t="s">
        <v>231</v>
      </c>
      <c r="B32" s="108">
        <v>186</v>
      </c>
      <c r="C32" s="140">
        <v>24</v>
      </c>
      <c r="D32" s="108">
        <v>24</v>
      </c>
      <c r="E32" s="108">
        <v>12</v>
      </c>
      <c r="F32" s="108">
        <v>17</v>
      </c>
      <c r="G32" s="108">
        <v>29</v>
      </c>
      <c r="H32" s="108">
        <v>64</v>
      </c>
      <c r="I32" s="108">
        <v>0</v>
      </c>
      <c r="J32" s="108">
        <v>232</v>
      </c>
      <c r="K32" s="108">
        <v>68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66">
        <f t="shared" si="0"/>
        <v>510</v>
      </c>
      <c r="R32" s="59">
        <f t="shared" si="1"/>
        <v>146</v>
      </c>
      <c r="S32" s="59">
        <f t="shared" si="2"/>
        <v>656</v>
      </c>
      <c r="T32" s="59">
        <f t="shared" si="3"/>
        <v>0</v>
      </c>
      <c r="U32" s="59">
        <f t="shared" si="4"/>
        <v>656</v>
      </c>
      <c r="V32" s="60">
        <f t="shared" si="5"/>
        <v>910</v>
      </c>
      <c r="W32" s="47" t="str">
        <f t="shared" si="6"/>
        <v>10:00-11:00</v>
      </c>
      <c r="X32" s="45">
        <f>B32+B66</f>
        <v>441</v>
      </c>
      <c r="Y32" s="45">
        <f>C32+C66</f>
        <v>59</v>
      </c>
      <c r="Z32" s="45">
        <f>D32+D66</f>
        <v>45</v>
      </c>
      <c r="AA32" s="45">
        <f>E32+E66</f>
        <v>34</v>
      </c>
      <c r="AB32" s="45">
        <f>F32+F66</f>
        <v>46</v>
      </c>
      <c r="AC32" s="45">
        <f>G32+G66</f>
        <v>64</v>
      </c>
      <c r="AD32" s="45">
        <f>H32+H66</f>
        <v>138</v>
      </c>
      <c r="AE32" s="45">
        <f>I32+I66</f>
        <v>0</v>
      </c>
      <c r="AF32" s="45">
        <f>J32+J66</f>
        <v>448</v>
      </c>
      <c r="AG32" s="45">
        <f>K32+K66</f>
        <v>131</v>
      </c>
      <c r="AH32" s="45">
        <f>L32+L66</f>
        <v>0</v>
      </c>
      <c r="AI32" s="45">
        <f>M32+M66</f>
        <v>3</v>
      </c>
      <c r="AJ32" s="45">
        <f>N32+N66</f>
        <v>0</v>
      </c>
      <c r="AK32" s="45">
        <f>O32+O66</f>
        <v>0</v>
      </c>
      <c r="AL32" s="45">
        <f>P32+P66</f>
        <v>0</v>
      </c>
      <c r="AM32" s="45">
        <f>Q32+Q66</f>
        <v>1079</v>
      </c>
      <c r="AN32" s="45">
        <f>R32+R66</f>
        <v>330</v>
      </c>
      <c r="AO32" s="45">
        <f>S32+S66</f>
        <v>1409</v>
      </c>
      <c r="AP32" s="45">
        <f>T32+T66</f>
        <v>0</v>
      </c>
      <c r="AQ32" s="45">
        <f>U32+U66</f>
        <v>1409</v>
      </c>
      <c r="AR32" s="45">
        <f>V32+V66</f>
        <v>2033.5</v>
      </c>
    </row>
    <row r="33" spans="1:44" x14ac:dyDescent="0.3">
      <c r="A33" s="62" t="s">
        <v>232</v>
      </c>
      <c r="B33" s="108">
        <v>170</v>
      </c>
      <c r="C33" s="140">
        <v>34</v>
      </c>
      <c r="D33" s="108">
        <v>15</v>
      </c>
      <c r="E33" s="108">
        <v>27</v>
      </c>
      <c r="F33" s="108">
        <v>14</v>
      </c>
      <c r="G33" s="108">
        <v>19</v>
      </c>
      <c r="H33" s="108">
        <v>62</v>
      </c>
      <c r="I33" s="108">
        <v>0</v>
      </c>
      <c r="J33" s="108">
        <v>238</v>
      </c>
      <c r="K33" s="108">
        <v>62</v>
      </c>
      <c r="L33" s="108">
        <v>2</v>
      </c>
      <c r="M33" s="108">
        <v>2</v>
      </c>
      <c r="N33" s="108">
        <v>0</v>
      </c>
      <c r="O33" s="108">
        <v>0</v>
      </c>
      <c r="P33" s="108">
        <v>0</v>
      </c>
      <c r="Q33" s="66">
        <f t="shared" si="0"/>
        <v>504</v>
      </c>
      <c r="R33" s="59">
        <f t="shared" si="1"/>
        <v>141</v>
      </c>
      <c r="S33" s="59">
        <f t="shared" si="2"/>
        <v>645</v>
      </c>
      <c r="T33" s="59">
        <f t="shared" si="3"/>
        <v>0</v>
      </c>
      <c r="U33" s="59">
        <f t="shared" si="4"/>
        <v>645</v>
      </c>
      <c r="V33" s="60">
        <f t="shared" si="5"/>
        <v>898.5</v>
      </c>
      <c r="W33" s="47" t="str">
        <f t="shared" si="6"/>
        <v>11:00-12:00</v>
      </c>
      <c r="X33" s="45">
        <f>B33+B67</f>
        <v>338</v>
      </c>
      <c r="Y33" s="45">
        <f>C33+C67</f>
        <v>55</v>
      </c>
      <c r="Z33" s="45">
        <f>D33+D67</f>
        <v>41</v>
      </c>
      <c r="AA33" s="45">
        <f>E33+E67</f>
        <v>45</v>
      </c>
      <c r="AB33" s="45">
        <f>F33+F67</f>
        <v>36</v>
      </c>
      <c r="AC33" s="45">
        <f>G33+G67</f>
        <v>52</v>
      </c>
      <c r="AD33" s="45">
        <f>H33+H67</f>
        <v>138</v>
      </c>
      <c r="AE33" s="45">
        <f>I33+I67</f>
        <v>0</v>
      </c>
      <c r="AF33" s="45">
        <f>J33+J67</f>
        <v>403</v>
      </c>
      <c r="AG33" s="45">
        <f>K33+K67</f>
        <v>104</v>
      </c>
      <c r="AH33" s="45">
        <f>L33+L67</f>
        <v>2</v>
      </c>
      <c r="AI33" s="45">
        <f>M33+M67</f>
        <v>5</v>
      </c>
      <c r="AJ33" s="45">
        <f>N33+N67</f>
        <v>0</v>
      </c>
      <c r="AK33" s="45">
        <f>O33+O67</f>
        <v>0</v>
      </c>
      <c r="AL33" s="45">
        <f>P33+P67</f>
        <v>0</v>
      </c>
      <c r="AM33" s="45">
        <f>Q33+Q67</f>
        <v>900</v>
      </c>
      <c r="AN33" s="45">
        <f>R33+R67</f>
        <v>319</v>
      </c>
      <c r="AO33" s="45">
        <f>S33+S67</f>
        <v>1219</v>
      </c>
      <c r="AP33" s="45">
        <f>T33+T67</f>
        <v>0</v>
      </c>
      <c r="AQ33" s="45">
        <f>U33+U67</f>
        <v>1219</v>
      </c>
      <c r="AR33" s="45">
        <f>V33+V67</f>
        <v>1827.5</v>
      </c>
    </row>
    <row r="34" spans="1:44" x14ac:dyDescent="0.3">
      <c r="A34" s="48" t="s">
        <v>23</v>
      </c>
      <c r="B34" s="114">
        <f>SUM(B10:B33)</f>
        <v>3164</v>
      </c>
      <c r="C34" s="94">
        <f t="shared" ref="C34:P34" si="7">SUM(C10:C33)</f>
        <v>436</v>
      </c>
      <c r="D34" s="114">
        <f t="shared" si="7"/>
        <v>323</v>
      </c>
      <c r="E34" s="110">
        <f>SUM(E10:E33)</f>
        <v>368</v>
      </c>
      <c r="F34" s="114">
        <f t="shared" si="7"/>
        <v>353</v>
      </c>
      <c r="G34" s="114">
        <f t="shared" si="7"/>
        <v>422</v>
      </c>
      <c r="H34" s="114">
        <f t="shared" si="7"/>
        <v>1604</v>
      </c>
      <c r="I34" s="114">
        <f t="shared" si="7"/>
        <v>0</v>
      </c>
      <c r="J34" s="114">
        <f>SUM(J10:J33)</f>
        <v>4451</v>
      </c>
      <c r="K34" s="114">
        <f t="shared" si="7"/>
        <v>838</v>
      </c>
      <c r="L34" s="114">
        <f t="shared" si="7"/>
        <v>11</v>
      </c>
      <c r="M34" s="114">
        <f t="shared" si="7"/>
        <v>42</v>
      </c>
      <c r="N34" s="114">
        <f t="shared" si="7"/>
        <v>15</v>
      </c>
      <c r="O34" s="114">
        <f t="shared" si="7"/>
        <v>0</v>
      </c>
      <c r="P34" s="114">
        <f t="shared" si="7"/>
        <v>2</v>
      </c>
      <c r="Q34" s="107">
        <f t="shared" ref="Q34:U34" si="8">SUM(Q10:Q33)</f>
        <v>8904</v>
      </c>
      <c r="R34" s="30">
        <f t="shared" si="8"/>
        <v>3125</v>
      </c>
      <c r="S34" s="31">
        <f t="shared" si="8"/>
        <v>12029</v>
      </c>
      <c r="T34" s="30">
        <f t="shared" si="8"/>
        <v>15</v>
      </c>
      <c r="U34" s="31">
        <f t="shared" si="8"/>
        <v>12029</v>
      </c>
      <c r="V34" s="31">
        <f>SUM(V10:V33)</f>
        <v>18175.5</v>
      </c>
      <c r="W34" s="48" t="s">
        <v>23</v>
      </c>
      <c r="X34" s="30">
        <f>SUM(X10:X33)</f>
        <v>6673</v>
      </c>
      <c r="Y34" s="30">
        <f t="shared" ref="Y34" si="9">SUM(Y10:Y33)</f>
        <v>890</v>
      </c>
      <c r="Z34" s="30">
        <f t="shared" ref="Z34" si="10">SUM(Z10:Z33)</f>
        <v>657</v>
      </c>
      <c r="AA34" s="30">
        <f t="shared" ref="AA34" si="11">SUM(AA10:AA33)</f>
        <v>798</v>
      </c>
      <c r="AB34" s="30">
        <f t="shared" ref="AB34" si="12">SUM(AB10:AB33)</f>
        <v>780</v>
      </c>
      <c r="AC34" s="30">
        <f t="shared" ref="AC34" si="13">SUM(AC10:AC33)</f>
        <v>1145</v>
      </c>
      <c r="AD34" s="30">
        <f t="shared" ref="AD34" si="14">SUM(AD10:AD33)</f>
        <v>2959</v>
      </c>
      <c r="AE34" s="30">
        <f t="shared" ref="AE34" si="15">SUM(AE10:AE33)</f>
        <v>0</v>
      </c>
      <c r="AF34" s="30">
        <f t="shared" ref="AF34" si="16">SUM(AF10:AF33)</f>
        <v>7797</v>
      </c>
      <c r="AG34" s="30">
        <f t="shared" ref="AG34" si="17">SUM(AG10:AG33)</f>
        <v>1434</v>
      </c>
      <c r="AH34" s="30">
        <f t="shared" ref="AH34" si="18">SUM(AH10:AH33)</f>
        <v>21</v>
      </c>
      <c r="AI34" s="30">
        <f t="shared" ref="AI34" si="19">SUM(AI10:AI33)</f>
        <v>84</v>
      </c>
      <c r="AJ34" s="30">
        <f t="shared" ref="AJ34" si="20">SUM(AJ10:AJ33)</f>
        <v>30</v>
      </c>
      <c r="AK34" s="30">
        <f t="shared" ref="AK34" si="21">SUM(AK10:AK33)</f>
        <v>0</v>
      </c>
      <c r="AL34" s="30">
        <f t="shared" ref="AL34" si="22">SUM(AL10:AL33)</f>
        <v>2</v>
      </c>
      <c r="AM34" s="30">
        <f t="shared" ref="AM34" si="23">SUM(AM10:AM33)</f>
        <v>16824</v>
      </c>
      <c r="AN34" s="30">
        <f t="shared" ref="AN34" si="24">SUM(AN10:AN33)</f>
        <v>6446</v>
      </c>
      <c r="AO34" s="30">
        <f t="shared" ref="AO34" si="25">SUM(AO10:AO33)</f>
        <v>23270</v>
      </c>
      <c r="AP34" s="30">
        <f t="shared" ref="AP34" si="26">SUM(AP10:AP33)</f>
        <v>30</v>
      </c>
      <c r="AQ34" s="30">
        <f t="shared" ref="AQ34" si="27">SUM(AQ10:AQ33)</f>
        <v>23270</v>
      </c>
      <c r="AR34" s="31">
        <f t="shared" ref="AR34" si="28">SUM(AR10:AR33)</f>
        <v>36053.5</v>
      </c>
    </row>
    <row r="35" spans="1:44" x14ac:dyDescent="0.3">
      <c r="E35" s="109"/>
    </row>
    <row r="38" spans="1:44" x14ac:dyDescent="0.3">
      <c r="A38" s="150" t="s">
        <v>0</v>
      </c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</row>
    <row r="39" spans="1:44" x14ac:dyDescent="0.3">
      <c r="A39" s="143" t="str">
        <f>A5</f>
        <v xml:space="preserve">Location: </v>
      </c>
      <c r="B39" s="153" t="str">
        <f>B5</f>
        <v>Nathavalasa Toll Plaza</v>
      </c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5"/>
      <c r="Q39" s="143" t="s">
        <v>202</v>
      </c>
      <c r="R39" s="156">
        <f>R5</f>
        <v>45232</v>
      </c>
      <c r="S39" s="157"/>
      <c r="T39" s="157"/>
      <c r="U39" s="157"/>
      <c r="V39" s="158"/>
    </row>
    <row r="40" spans="1:44" x14ac:dyDescent="0.3">
      <c r="A40" s="144" t="s">
        <v>205</v>
      </c>
      <c r="B40" s="153" t="s">
        <v>206</v>
      </c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5"/>
    </row>
    <row r="41" spans="1:44" x14ac:dyDescent="0.3">
      <c r="A41" s="14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1" t="s">
        <v>2</v>
      </c>
      <c r="B42" s="171" t="s">
        <v>80</v>
      </c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0" t="s">
        <v>81</v>
      </c>
      <c r="O42" s="170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2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 t="shared" ref="A44:A67" si="29">A10</f>
        <v>12:00-13:00</v>
      </c>
      <c r="B44" s="108">
        <v>221</v>
      </c>
      <c r="C44" s="140">
        <v>22</v>
      </c>
      <c r="D44" s="108">
        <v>16</v>
      </c>
      <c r="E44" s="108">
        <v>14</v>
      </c>
      <c r="F44" s="108">
        <v>19</v>
      </c>
      <c r="G44" s="108">
        <v>23</v>
      </c>
      <c r="H44" s="108">
        <v>50</v>
      </c>
      <c r="I44" s="108">
        <v>0</v>
      </c>
      <c r="J44" s="108">
        <v>156</v>
      </c>
      <c r="K44" s="108">
        <v>29</v>
      </c>
      <c r="L44" s="108">
        <v>2</v>
      </c>
      <c r="M44" s="108">
        <v>5</v>
      </c>
      <c r="N44" s="108">
        <v>2</v>
      </c>
      <c r="O44" s="108">
        <v>0</v>
      </c>
      <c r="P44" s="108">
        <v>0</v>
      </c>
      <c r="Q44" s="63">
        <f t="shared" ref="Q44:Q67" si="30">B44+C44+J44+K44+N44+O44</f>
        <v>430</v>
      </c>
      <c r="R44" s="45">
        <f>D44+E44+F44+G44+H44+I44+L44+M44+P44</f>
        <v>129</v>
      </c>
      <c r="S44" s="45">
        <f t="shared" ref="S44:S67" si="31">Q44+R44</f>
        <v>559</v>
      </c>
      <c r="T44" s="45">
        <f>N44+O44</f>
        <v>2</v>
      </c>
      <c r="U44" s="45">
        <f>SUM(B44:P44)</f>
        <v>559</v>
      </c>
      <c r="V44" s="46">
        <f>SUMPRODUCT(B44:P44,$B$7:$P$7)</f>
        <v>808.5</v>
      </c>
    </row>
    <row r="45" spans="1:44" x14ac:dyDescent="0.3">
      <c r="A45" s="62" t="str">
        <f t="shared" si="29"/>
        <v>13:00-14:00</v>
      </c>
      <c r="B45" s="108">
        <v>128</v>
      </c>
      <c r="C45" s="140">
        <v>24</v>
      </c>
      <c r="D45" s="108">
        <v>16</v>
      </c>
      <c r="E45" s="108">
        <v>14</v>
      </c>
      <c r="F45" s="108">
        <v>14</v>
      </c>
      <c r="G45" s="108">
        <v>26</v>
      </c>
      <c r="H45" s="108">
        <v>53</v>
      </c>
      <c r="I45" s="108">
        <v>0</v>
      </c>
      <c r="J45" s="108">
        <v>176</v>
      </c>
      <c r="K45" s="108">
        <v>30</v>
      </c>
      <c r="L45" s="108">
        <v>0</v>
      </c>
      <c r="M45" s="108">
        <v>2</v>
      </c>
      <c r="N45" s="108">
        <v>0</v>
      </c>
      <c r="O45" s="108">
        <v>0</v>
      </c>
      <c r="P45" s="108">
        <v>0</v>
      </c>
      <c r="Q45" s="63">
        <f t="shared" si="30"/>
        <v>358</v>
      </c>
      <c r="R45" s="45">
        <f t="shared" ref="R45:R67" si="32">D45+E45+F45+G45+H45+I45+L45+M45+P45</f>
        <v>125</v>
      </c>
      <c r="S45" s="45">
        <f t="shared" si="31"/>
        <v>483</v>
      </c>
      <c r="T45" s="45">
        <f t="shared" ref="T45:T67" si="33">N45+O45</f>
        <v>0</v>
      </c>
      <c r="U45" s="45">
        <f t="shared" ref="U45:U67" si="34">SUM(B45:P45)</f>
        <v>483</v>
      </c>
      <c r="V45" s="46">
        <f t="shared" ref="V45:V67" si="35">SUMPRODUCT(B45:P45,$B$7:$P$7)</f>
        <v>722.5</v>
      </c>
    </row>
    <row r="46" spans="1:44" x14ac:dyDescent="0.3">
      <c r="A46" s="62" t="str">
        <f t="shared" si="29"/>
        <v>14:00-15:00</v>
      </c>
      <c r="B46" s="108">
        <v>129</v>
      </c>
      <c r="C46" s="140">
        <v>18</v>
      </c>
      <c r="D46" s="108">
        <v>23</v>
      </c>
      <c r="E46" s="108">
        <v>16</v>
      </c>
      <c r="F46" s="108">
        <v>25</v>
      </c>
      <c r="G46" s="108">
        <v>30</v>
      </c>
      <c r="H46" s="108">
        <v>65</v>
      </c>
      <c r="I46" s="108">
        <v>0</v>
      </c>
      <c r="J46" s="108">
        <v>140</v>
      </c>
      <c r="K46" s="108">
        <v>27</v>
      </c>
      <c r="L46" s="108">
        <v>0</v>
      </c>
      <c r="M46" s="108">
        <v>4</v>
      </c>
      <c r="N46" s="108">
        <v>0</v>
      </c>
      <c r="O46" s="108">
        <v>0</v>
      </c>
      <c r="P46" s="108">
        <v>0</v>
      </c>
      <c r="Q46" s="63">
        <f t="shared" si="30"/>
        <v>314</v>
      </c>
      <c r="R46" s="45">
        <f t="shared" si="32"/>
        <v>163</v>
      </c>
      <c r="S46" s="45">
        <f t="shared" si="31"/>
        <v>477</v>
      </c>
      <c r="T46" s="45">
        <f t="shared" si="33"/>
        <v>0</v>
      </c>
      <c r="U46" s="45">
        <f t="shared" si="34"/>
        <v>477</v>
      </c>
      <c r="V46" s="46">
        <f t="shared" si="35"/>
        <v>802.5</v>
      </c>
    </row>
    <row r="47" spans="1:44" x14ac:dyDescent="0.3">
      <c r="A47" s="62" t="str">
        <f t="shared" si="29"/>
        <v>15:00-16:00</v>
      </c>
      <c r="B47" s="108">
        <v>234</v>
      </c>
      <c r="C47" s="141">
        <v>22</v>
      </c>
      <c r="D47" s="108">
        <v>13</v>
      </c>
      <c r="E47" s="108">
        <v>19</v>
      </c>
      <c r="F47" s="108">
        <v>35</v>
      </c>
      <c r="G47" s="108">
        <v>28</v>
      </c>
      <c r="H47" s="108">
        <v>65</v>
      </c>
      <c r="I47" s="108">
        <v>0</v>
      </c>
      <c r="J47" s="108">
        <v>179</v>
      </c>
      <c r="K47" s="108">
        <v>46</v>
      </c>
      <c r="L47" s="108">
        <v>3</v>
      </c>
      <c r="M47" s="108">
        <v>4</v>
      </c>
      <c r="N47" s="108">
        <v>0</v>
      </c>
      <c r="O47" s="108">
        <v>0</v>
      </c>
      <c r="P47" s="108">
        <v>0</v>
      </c>
      <c r="Q47" s="63">
        <f t="shared" si="30"/>
        <v>481</v>
      </c>
      <c r="R47" s="45">
        <f t="shared" si="32"/>
        <v>167</v>
      </c>
      <c r="S47" s="45">
        <f t="shared" si="31"/>
        <v>648</v>
      </c>
      <c r="T47" s="45">
        <f t="shared" si="33"/>
        <v>0</v>
      </c>
      <c r="U47" s="45">
        <f t="shared" si="34"/>
        <v>648</v>
      </c>
      <c r="V47" s="46">
        <f t="shared" si="35"/>
        <v>981</v>
      </c>
    </row>
    <row r="48" spans="1:44" x14ac:dyDescent="0.3">
      <c r="A48" s="62" t="str">
        <f t="shared" si="29"/>
        <v>16:00-17:00</v>
      </c>
      <c r="B48" s="108">
        <v>247</v>
      </c>
      <c r="C48" s="141">
        <v>18</v>
      </c>
      <c r="D48" s="108">
        <v>23</v>
      </c>
      <c r="E48" s="108">
        <v>13</v>
      </c>
      <c r="F48" s="108">
        <v>19</v>
      </c>
      <c r="G48" s="108">
        <v>33</v>
      </c>
      <c r="H48" s="108">
        <v>48</v>
      </c>
      <c r="I48" s="108">
        <v>0</v>
      </c>
      <c r="J48" s="108">
        <v>326</v>
      </c>
      <c r="K48" s="108">
        <v>54</v>
      </c>
      <c r="L48" s="108">
        <v>0</v>
      </c>
      <c r="M48" s="108">
        <v>2</v>
      </c>
      <c r="N48" s="108">
        <v>2</v>
      </c>
      <c r="O48" s="108">
        <v>0</v>
      </c>
      <c r="P48" s="108">
        <v>0</v>
      </c>
      <c r="Q48" s="63">
        <f t="shared" si="30"/>
        <v>647</v>
      </c>
      <c r="R48" s="45">
        <f t="shared" si="32"/>
        <v>138</v>
      </c>
      <c r="S48" s="45">
        <f t="shared" si="31"/>
        <v>785</v>
      </c>
      <c r="T48" s="45">
        <f t="shared" si="33"/>
        <v>2</v>
      </c>
      <c r="U48" s="45">
        <f t="shared" si="34"/>
        <v>785</v>
      </c>
      <c r="V48" s="46">
        <f t="shared" si="35"/>
        <v>942.5</v>
      </c>
    </row>
    <row r="49" spans="1:22" x14ac:dyDescent="0.3">
      <c r="A49" s="62" t="str">
        <f t="shared" si="29"/>
        <v>17:00-18:00</v>
      </c>
      <c r="B49" s="108">
        <v>304</v>
      </c>
      <c r="C49" s="141">
        <v>27</v>
      </c>
      <c r="D49" s="108">
        <v>22</v>
      </c>
      <c r="E49" s="108">
        <v>30</v>
      </c>
      <c r="F49" s="108">
        <v>17</v>
      </c>
      <c r="G49" s="108">
        <v>41</v>
      </c>
      <c r="H49" s="108">
        <v>50</v>
      </c>
      <c r="I49" s="108">
        <v>0</v>
      </c>
      <c r="J49" s="108">
        <v>207</v>
      </c>
      <c r="K49" s="108">
        <v>43</v>
      </c>
      <c r="L49" s="108">
        <v>3</v>
      </c>
      <c r="M49" s="108">
        <v>2</v>
      </c>
      <c r="N49" s="108">
        <v>0</v>
      </c>
      <c r="O49" s="108">
        <v>0</v>
      </c>
      <c r="P49" s="108">
        <v>0</v>
      </c>
      <c r="Q49" s="63">
        <f t="shared" si="30"/>
        <v>581</v>
      </c>
      <c r="R49" s="45">
        <f t="shared" si="32"/>
        <v>165</v>
      </c>
      <c r="S49" s="45">
        <f t="shared" si="31"/>
        <v>746</v>
      </c>
      <c r="T49" s="45">
        <f t="shared" si="33"/>
        <v>0</v>
      </c>
      <c r="U49" s="45">
        <f t="shared" si="34"/>
        <v>746</v>
      </c>
      <c r="V49" s="46">
        <f t="shared" si="35"/>
        <v>1011</v>
      </c>
    </row>
    <row r="50" spans="1:22" x14ac:dyDescent="0.3">
      <c r="A50" s="62" t="str">
        <f t="shared" si="29"/>
        <v>18:00-19:00</v>
      </c>
      <c r="B50" s="108">
        <v>285</v>
      </c>
      <c r="C50" s="140">
        <v>13</v>
      </c>
      <c r="D50" s="108">
        <v>15</v>
      </c>
      <c r="E50" s="108">
        <v>27</v>
      </c>
      <c r="F50" s="108">
        <v>14</v>
      </c>
      <c r="G50" s="108">
        <v>37</v>
      </c>
      <c r="H50" s="108">
        <v>72</v>
      </c>
      <c r="I50" s="108">
        <v>0</v>
      </c>
      <c r="J50" s="108">
        <v>181</v>
      </c>
      <c r="K50" s="108">
        <v>36</v>
      </c>
      <c r="L50" s="108">
        <v>0</v>
      </c>
      <c r="M50" s="108">
        <v>2</v>
      </c>
      <c r="N50" s="108">
        <v>0</v>
      </c>
      <c r="O50" s="108">
        <v>0</v>
      </c>
      <c r="P50" s="108">
        <v>0</v>
      </c>
      <c r="Q50" s="63">
        <f t="shared" si="30"/>
        <v>515</v>
      </c>
      <c r="R50" s="45">
        <f t="shared" si="32"/>
        <v>167</v>
      </c>
      <c r="S50" s="45">
        <f t="shared" si="31"/>
        <v>682</v>
      </c>
      <c r="T50" s="45">
        <f t="shared" si="33"/>
        <v>0</v>
      </c>
      <c r="U50" s="45">
        <f t="shared" si="34"/>
        <v>682</v>
      </c>
      <c r="V50" s="46">
        <f t="shared" si="35"/>
        <v>992</v>
      </c>
    </row>
    <row r="51" spans="1:22" x14ac:dyDescent="0.3">
      <c r="A51" s="62" t="str">
        <f t="shared" si="29"/>
        <v>19:00-20:00</v>
      </c>
      <c r="B51" s="108">
        <v>243</v>
      </c>
      <c r="C51" s="140">
        <v>19</v>
      </c>
      <c r="D51" s="108">
        <v>21</v>
      </c>
      <c r="E51" s="108">
        <v>15</v>
      </c>
      <c r="F51" s="108">
        <v>14</v>
      </c>
      <c r="G51" s="108">
        <v>32</v>
      </c>
      <c r="H51" s="108">
        <v>70</v>
      </c>
      <c r="I51" s="108">
        <v>0</v>
      </c>
      <c r="J51" s="108">
        <v>176</v>
      </c>
      <c r="K51" s="108">
        <v>22</v>
      </c>
      <c r="L51" s="108">
        <v>0</v>
      </c>
      <c r="M51" s="108">
        <v>0</v>
      </c>
      <c r="N51" s="108">
        <v>0</v>
      </c>
      <c r="O51" s="108">
        <v>0</v>
      </c>
      <c r="P51" s="108">
        <v>0</v>
      </c>
      <c r="Q51" s="63">
        <f t="shared" si="30"/>
        <v>460</v>
      </c>
      <c r="R51" s="45">
        <f t="shared" si="32"/>
        <v>152</v>
      </c>
      <c r="S51" s="45">
        <f t="shared" si="31"/>
        <v>612</v>
      </c>
      <c r="T51" s="45">
        <f t="shared" si="33"/>
        <v>0</v>
      </c>
      <c r="U51" s="45">
        <f t="shared" si="34"/>
        <v>612</v>
      </c>
      <c r="V51" s="46">
        <f t="shared" si="35"/>
        <v>906.5</v>
      </c>
    </row>
    <row r="52" spans="1:22" x14ac:dyDescent="0.3">
      <c r="A52" s="62" t="str">
        <f t="shared" si="29"/>
        <v>20:00-21:00</v>
      </c>
      <c r="B52" s="108">
        <v>177</v>
      </c>
      <c r="C52" s="140">
        <v>19</v>
      </c>
      <c r="D52" s="108">
        <v>7</v>
      </c>
      <c r="E52" s="108">
        <v>22</v>
      </c>
      <c r="F52" s="108">
        <v>16</v>
      </c>
      <c r="G52" s="108">
        <v>27</v>
      </c>
      <c r="H52" s="108">
        <v>46</v>
      </c>
      <c r="I52" s="108">
        <v>0</v>
      </c>
      <c r="J52" s="108">
        <v>123</v>
      </c>
      <c r="K52" s="108">
        <v>9</v>
      </c>
      <c r="L52" s="108">
        <v>0</v>
      </c>
      <c r="M52" s="108">
        <v>0</v>
      </c>
      <c r="N52" s="108">
        <v>0</v>
      </c>
      <c r="O52" s="108">
        <v>0</v>
      </c>
      <c r="P52" s="108">
        <v>0</v>
      </c>
      <c r="Q52" s="63">
        <f t="shared" si="30"/>
        <v>328</v>
      </c>
      <c r="R52" s="45">
        <f t="shared" si="32"/>
        <v>118</v>
      </c>
      <c r="S52" s="45">
        <f t="shared" si="31"/>
        <v>446</v>
      </c>
      <c r="T52" s="45">
        <f t="shared" si="33"/>
        <v>0</v>
      </c>
      <c r="U52" s="45">
        <f t="shared" si="34"/>
        <v>446</v>
      </c>
      <c r="V52" s="46">
        <f t="shared" si="35"/>
        <v>680.5</v>
      </c>
    </row>
    <row r="53" spans="1:22" x14ac:dyDescent="0.3">
      <c r="A53" s="62" t="str">
        <f t="shared" si="29"/>
        <v>21:00-22:00</v>
      </c>
      <c r="B53" s="108">
        <v>127</v>
      </c>
      <c r="C53" s="142">
        <v>9</v>
      </c>
      <c r="D53" s="108">
        <v>15</v>
      </c>
      <c r="E53" s="108">
        <v>24</v>
      </c>
      <c r="F53" s="108">
        <v>16</v>
      </c>
      <c r="G53" s="108">
        <v>21</v>
      </c>
      <c r="H53" s="108">
        <v>55</v>
      </c>
      <c r="I53" s="108">
        <v>0</v>
      </c>
      <c r="J53" s="108">
        <v>78</v>
      </c>
      <c r="K53" s="108">
        <v>8</v>
      </c>
      <c r="L53" s="108">
        <v>0</v>
      </c>
      <c r="M53" s="108">
        <v>2</v>
      </c>
      <c r="N53" s="108">
        <v>2</v>
      </c>
      <c r="O53" s="108">
        <v>0</v>
      </c>
      <c r="P53" s="108">
        <v>0</v>
      </c>
      <c r="Q53" s="66">
        <f t="shared" si="30"/>
        <v>224</v>
      </c>
      <c r="R53" s="59">
        <f t="shared" si="32"/>
        <v>133</v>
      </c>
      <c r="S53" s="59">
        <f t="shared" si="31"/>
        <v>357</v>
      </c>
      <c r="T53" s="59">
        <f t="shared" si="33"/>
        <v>2</v>
      </c>
      <c r="U53" s="59">
        <f t="shared" si="34"/>
        <v>357</v>
      </c>
      <c r="V53" s="60">
        <f t="shared" si="35"/>
        <v>620.5</v>
      </c>
    </row>
    <row r="54" spans="1:22" x14ac:dyDescent="0.3">
      <c r="A54" s="62" t="str">
        <f t="shared" si="29"/>
        <v>22:00-23:00</v>
      </c>
      <c r="B54" s="108">
        <v>67</v>
      </c>
      <c r="C54" s="140">
        <v>5</v>
      </c>
      <c r="D54" s="108">
        <v>9</v>
      </c>
      <c r="E54" s="108">
        <v>23</v>
      </c>
      <c r="F54" s="108">
        <v>14</v>
      </c>
      <c r="G54" s="108">
        <v>26</v>
      </c>
      <c r="H54" s="108">
        <v>43</v>
      </c>
      <c r="I54" s="108">
        <v>0</v>
      </c>
      <c r="J54" s="108">
        <v>59</v>
      </c>
      <c r="K54" s="108">
        <v>7</v>
      </c>
      <c r="L54" s="108">
        <v>0</v>
      </c>
      <c r="M54" s="108">
        <v>0</v>
      </c>
      <c r="N54" s="108">
        <v>0</v>
      </c>
      <c r="O54" s="108">
        <v>0</v>
      </c>
      <c r="P54" s="108">
        <v>0</v>
      </c>
      <c r="Q54" s="66">
        <f t="shared" si="30"/>
        <v>138</v>
      </c>
      <c r="R54" s="59">
        <f t="shared" si="32"/>
        <v>115</v>
      </c>
      <c r="S54" s="59">
        <f t="shared" si="31"/>
        <v>253</v>
      </c>
      <c r="T54" s="59">
        <f t="shared" si="33"/>
        <v>0</v>
      </c>
      <c r="U54" s="59">
        <f t="shared" si="34"/>
        <v>253</v>
      </c>
      <c r="V54" s="60">
        <f t="shared" si="35"/>
        <v>475.5</v>
      </c>
    </row>
    <row r="55" spans="1:22" x14ac:dyDescent="0.3">
      <c r="A55" s="62" t="str">
        <f t="shared" si="29"/>
        <v>23:00-00:00</v>
      </c>
      <c r="B55" s="108">
        <v>35</v>
      </c>
      <c r="C55" s="140">
        <v>3</v>
      </c>
      <c r="D55" s="108">
        <v>6</v>
      </c>
      <c r="E55" s="108">
        <v>9</v>
      </c>
      <c r="F55" s="108">
        <v>15</v>
      </c>
      <c r="G55" s="108">
        <v>22</v>
      </c>
      <c r="H55" s="108">
        <v>41</v>
      </c>
      <c r="I55" s="108">
        <v>0</v>
      </c>
      <c r="J55" s="108">
        <v>34</v>
      </c>
      <c r="K55" s="108">
        <v>3</v>
      </c>
      <c r="L55" s="108">
        <v>2</v>
      </c>
      <c r="M55" s="108">
        <v>0</v>
      </c>
      <c r="N55" s="108">
        <v>0</v>
      </c>
      <c r="O55" s="108">
        <v>0</v>
      </c>
      <c r="P55" s="108">
        <v>0</v>
      </c>
      <c r="Q55" s="66">
        <f t="shared" si="30"/>
        <v>75</v>
      </c>
      <c r="R55" s="59">
        <f t="shared" si="32"/>
        <v>95</v>
      </c>
      <c r="S55" s="59">
        <f t="shared" si="31"/>
        <v>170</v>
      </c>
      <c r="T55" s="59">
        <f t="shared" si="33"/>
        <v>0</v>
      </c>
      <c r="U55" s="59">
        <f t="shared" si="34"/>
        <v>170</v>
      </c>
      <c r="V55" s="60">
        <f t="shared" si="35"/>
        <v>382</v>
      </c>
    </row>
    <row r="56" spans="1:22" x14ac:dyDescent="0.3">
      <c r="A56" s="62" t="str">
        <f t="shared" si="29"/>
        <v>00:00-01:00</v>
      </c>
      <c r="B56" s="108">
        <v>52</v>
      </c>
      <c r="C56" s="140">
        <v>5</v>
      </c>
      <c r="D56" s="108">
        <v>5</v>
      </c>
      <c r="E56" s="108">
        <v>7</v>
      </c>
      <c r="F56" s="108">
        <v>14</v>
      </c>
      <c r="G56" s="108">
        <v>14</v>
      </c>
      <c r="H56" s="108">
        <v>50</v>
      </c>
      <c r="I56" s="108">
        <v>0</v>
      </c>
      <c r="J56" s="108">
        <v>27</v>
      </c>
      <c r="K56" s="108">
        <v>3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6">
        <f t="shared" si="30"/>
        <v>87</v>
      </c>
      <c r="R56" s="59">
        <f t="shared" si="32"/>
        <v>90</v>
      </c>
      <c r="S56" s="59">
        <f t="shared" si="31"/>
        <v>177</v>
      </c>
      <c r="T56" s="59">
        <f t="shared" si="33"/>
        <v>0</v>
      </c>
      <c r="U56" s="59">
        <f t="shared" si="34"/>
        <v>177</v>
      </c>
      <c r="V56" s="60">
        <f t="shared" si="35"/>
        <v>408</v>
      </c>
    </row>
    <row r="57" spans="1:22" x14ac:dyDescent="0.3">
      <c r="A57" s="62" t="str">
        <f t="shared" si="29"/>
        <v>01:00-02:00</v>
      </c>
      <c r="B57" s="108">
        <v>83</v>
      </c>
      <c r="C57" s="140">
        <v>14</v>
      </c>
      <c r="D57" s="108">
        <v>14</v>
      </c>
      <c r="E57" s="108">
        <v>7</v>
      </c>
      <c r="F57" s="108">
        <v>16</v>
      </c>
      <c r="G57" s="108">
        <v>23</v>
      </c>
      <c r="H57" s="108">
        <v>47</v>
      </c>
      <c r="I57" s="108">
        <v>0</v>
      </c>
      <c r="J57" s="108">
        <v>28</v>
      </c>
      <c r="K57" s="108">
        <v>4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6">
        <f t="shared" si="30"/>
        <v>129</v>
      </c>
      <c r="R57" s="59">
        <f t="shared" si="32"/>
        <v>107</v>
      </c>
      <c r="S57" s="59">
        <f t="shared" si="31"/>
        <v>236</v>
      </c>
      <c r="T57" s="59">
        <f t="shared" si="33"/>
        <v>0</v>
      </c>
      <c r="U57" s="59">
        <f t="shared" si="34"/>
        <v>236</v>
      </c>
      <c r="V57" s="60">
        <f t="shared" si="35"/>
        <v>496</v>
      </c>
    </row>
    <row r="58" spans="1:22" x14ac:dyDescent="0.3">
      <c r="A58" s="62" t="str">
        <f t="shared" si="29"/>
        <v>02:00-03:00</v>
      </c>
      <c r="B58" s="108">
        <v>17</v>
      </c>
      <c r="C58" s="140">
        <v>5</v>
      </c>
      <c r="D58" s="108">
        <v>7</v>
      </c>
      <c r="E58" s="108">
        <v>23</v>
      </c>
      <c r="F58" s="108">
        <v>10</v>
      </c>
      <c r="G58" s="108">
        <v>27</v>
      </c>
      <c r="H58" s="108">
        <v>36</v>
      </c>
      <c r="I58" s="108">
        <v>0</v>
      </c>
      <c r="J58" s="108">
        <v>21</v>
      </c>
      <c r="K58" s="108">
        <v>2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6">
        <f t="shared" si="30"/>
        <v>45</v>
      </c>
      <c r="R58" s="59">
        <f t="shared" si="32"/>
        <v>103</v>
      </c>
      <c r="S58" s="59">
        <f t="shared" si="31"/>
        <v>148</v>
      </c>
      <c r="T58" s="59">
        <f t="shared" si="33"/>
        <v>0</v>
      </c>
      <c r="U58" s="59">
        <f t="shared" si="34"/>
        <v>148</v>
      </c>
      <c r="V58" s="60">
        <f t="shared" si="35"/>
        <v>359</v>
      </c>
    </row>
    <row r="59" spans="1:22" x14ac:dyDescent="0.3">
      <c r="A59" s="62" t="str">
        <f t="shared" si="29"/>
        <v>03:00-04:00</v>
      </c>
      <c r="B59" s="108">
        <v>11</v>
      </c>
      <c r="C59" s="140">
        <v>7</v>
      </c>
      <c r="D59" s="108">
        <v>7</v>
      </c>
      <c r="E59" s="108">
        <v>11</v>
      </c>
      <c r="F59" s="108">
        <v>4</v>
      </c>
      <c r="G59" s="108">
        <v>18</v>
      </c>
      <c r="H59" s="108">
        <v>35</v>
      </c>
      <c r="I59" s="108">
        <v>0</v>
      </c>
      <c r="J59" s="108">
        <v>28</v>
      </c>
      <c r="K59" s="108">
        <v>2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6">
        <f t="shared" si="30"/>
        <v>48</v>
      </c>
      <c r="R59" s="59">
        <f t="shared" si="32"/>
        <v>75</v>
      </c>
      <c r="S59" s="59">
        <f t="shared" si="31"/>
        <v>123</v>
      </c>
      <c r="T59" s="59">
        <f t="shared" si="33"/>
        <v>0</v>
      </c>
      <c r="U59" s="59">
        <f t="shared" si="34"/>
        <v>123</v>
      </c>
      <c r="V59" s="60">
        <f t="shared" si="35"/>
        <v>295</v>
      </c>
    </row>
    <row r="60" spans="1:22" x14ac:dyDescent="0.3">
      <c r="A60" s="62" t="str">
        <f t="shared" si="29"/>
        <v>04:00-05:00</v>
      </c>
      <c r="B60" s="108">
        <v>10</v>
      </c>
      <c r="C60" s="140">
        <v>6</v>
      </c>
      <c r="D60" s="108">
        <v>8</v>
      </c>
      <c r="E60" s="108">
        <v>11</v>
      </c>
      <c r="F60" s="108">
        <v>18</v>
      </c>
      <c r="G60" s="108">
        <v>23</v>
      </c>
      <c r="H60" s="108">
        <v>42</v>
      </c>
      <c r="I60" s="108">
        <v>0</v>
      </c>
      <c r="J60" s="108">
        <v>41</v>
      </c>
      <c r="K60" s="108">
        <v>3</v>
      </c>
      <c r="L60" s="108">
        <v>0</v>
      </c>
      <c r="M60" s="108">
        <v>0</v>
      </c>
      <c r="N60" s="108">
        <v>3</v>
      </c>
      <c r="O60" s="108">
        <v>0</v>
      </c>
      <c r="P60" s="108">
        <v>0</v>
      </c>
      <c r="Q60" s="66">
        <f t="shared" si="30"/>
        <v>63</v>
      </c>
      <c r="R60" s="59">
        <f t="shared" si="32"/>
        <v>102</v>
      </c>
      <c r="S60" s="59">
        <f t="shared" si="31"/>
        <v>165</v>
      </c>
      <c r="T60" s="59">
        <f t="shared" si="33"/>
        <v>3</v>
      </c>
      <c r="U60" s="59">
        <f t="shared" si="34"/>
        <v>165</v>
      </c>
      <c r="V60" s="60">
        <f t="shared" si="35"/>
        <v>389.5</v>
      </c>
    </row>
    <row r="61" spans="1:22" x14ac:dyDescent="0.3">
      <c r="A61" s="62" t="str">
        <f t="shared" si="29"/>
        <v>05:00-06:00</v>
      </c>
      <c r="B61" s="108">
        <v>50</v>
      </c>
      <c r="C61" s="140">
        <v>28</v>
      </c>
      <c r="D61" s="108">
        <v>14</v>
      </c>
      <c r="E61" s="108">
        <v>18</v>
      </c>
      <c r="F61" s="108">
        <v>16</v>
      </c>
      <c r="G61" s="108">
        <v>44</v>
      </c>
      <c r="H61" s="108">
        <v>81</v>
      </c>
      <c r="I61" s="108">
        <v>0</v>
      </c>
      <c r="J61" s="108">
        <v>92</v>
      </c>
      <c r="K61" s="108">
        <v>9</v>
      </c>
      <c r="L61" s="108">
        <v>0</v>
      </c>
      <c r="M61" s="108">
        <v>0</v>
      </c>
      <c r="N61" s="108">
        <v>3</v>
      </c>
      <c r="O61" s="108">
        <v>0</v>
      </c>
      <c r="P61" s="108">
        <v>0</v>
      </c>
      <c r="Q61" s="66">
        <f t="shared" si="30"/>
        <v>182</v>
      </c>
      <c r="R61" s="59">
        <f t="shared" si="32"/>
        <v>173</v>
      </c>
      <c r="S61" s="59">
        <f t="shared" si="31"/>
        <v>355</v>
      </c>
      <c r="T61" s="59">
        <f t="shared" si="33"/>
        <v>3</v>
      </c>
      <c r="U61" s="59">
        <f t="shared" si="34"/>
        <v>355</v>
      </c>
      <c r="V61" s="60">
        <f t="shared" si="35"/>
        <v>776</v>
      </c>
    </row>
    <row r="62" spans="1:22" x14ac:dyDescent="0.3">
      <c r="A62" s="62" t="str">
        <f t="shared" si="29"/>
        <v>06:00-07:00</v>
      </c>
      <c r="B62" s="108">
        <v>84</v>
      </c>
      <c r="C62" s="140">
        <v>26</v>
      </c>
      <c r="D62" s="108">
        <v>6</v>
      </c>
      <c r="E62" s="108">
        <v>25</v>
      </c>
      <c r="F62" s="108">
        <v>26</v>
      </c>
      <c r="G62" s="108">
        <v>51</v>
      </c>
      <c r="H62" s="108">
        <v>75</v>
      </c>
      <c r="I62" s="108">
        <v>0</v>
      </c>
      <c r="J62" s="108">
        <v>133</v>
      </c>
      <c r="K62" s="108">
        <v>15</v>
      </c>
      <c r="L62" s="108">
        <v>0</v>
      </c>
      <c r="M62" s="108">
        <v>0</v>
      </c>
      <c r="N62" s="108">
        <v>0</v>
      </c>
      <c r="O62" s="108">
        <v>0</v>
      </c>
      <c r="P62" s="108">
        <v>0</v>
      </c>
      <c r="Q62" s="66">
        <f t="shared" si="30"/>
        <v>258</v>
      </c>
      <c r="R62" s="59">
        <f t="shared" si="32"/>
        <v>183</v>
      </c>
      <c r="S62" s="59">
        <f t="shared" si="31"/>
        <v>441</v>
      </c>
      <c r="T62" s="59">
        <f t="shared" si="33"/>
        <v>0</v>
      </c>
      <c r="U62" s="59">
        <f t="shared" si="34"/>
        <v>441</v>
      </c>
      <c r="V62" s="60">
        <f t="shared" si="35"/>
        <v>855.5</v>
      </c>
    </row>
    <row r="63" spans="1:22" x14ac:dyDescent="0.3">
      <c r="A63" s="62" t="str">
        <f t="shared" si="29"/>
        <v>07:00-08:00</v>
      </c>
      <c r="B63" s="108">
        <v>129</v>
      </c>
      <c r="C63" s="140">
        <v>29</v>
      </c>
      <c r="D63" s="108">
        <v>11</v>
      </c>
      <c r="E63" s="108">
        <v>18</v>
      </c>
      <c r="F63" s="108">
        <v>26</v>
      </c>
      <c r="G63" s="108">
        <v>43</v>
      </c>
      <c r="H63" s="108">
        <v>52</v>
      </c>
      <c r="I63" s="108">
        <v>0</v>
      </c>
      <c r="J63" s="108">
        <v>217</v>
      </c>
      <c r="K63" s="108">
        <v>25</v>
      </c>
      <c r="L63" s="108">
        <v>0</v>
      </c>
      <c r="M63" s="108">
        <v>3</v>
      </c>
      <c r="N63" s="108">
        <v>0</v>
      </c>
      <c r="O63" s="108">
        <v>0</v>
      </c>
      <c r="P63" s="108">
        <v>0</v>
      </c>
      <c r="Q63" s="66">
        <f t="shared" si="30"/>
        <v>400</v>
      </c>
      <c r="R63" s="59">
        <f t="shared" si="32"/>
        <v>153</v>
      </c>
      <c r="S63" s="59">
        <f t="shared" si="31"/>
        <v>553</v>
      </c>
      <c r="T63" s="59">
        <f t="shared" si="33"/>
        <v>0</v>
      </c>
      <c r="U63" s="59">
        <f t="shared" si="34"/>
        <v>553</v>
      </c>
      <c r="V63" s="60">
        <f t="shared" si="35"/>
        <v>842</v>
      </c>
    </row>
    <row r="64" spans="1:22" x14ac:dyDescent="0.3">
      <c r="A64" s="62" t="str">
        <f t="shared" si="29"/>
        <v>08:00-09:00</v>
      </c>
      <c r="B64" s="108">
        <v>182</v>
      </c>
      <c r="C64" s="140">
        <v>50</v>
      </c>
      <c r="D64" s="108">
        <v>19</v>
      </c>
      <c r="E64" s="108">
        <v>27</v>
      </c>
      <c r="F64" s="108">
        <v>16</v>
      </c>
      <c r="G64" s="108">
        <v>36</v>
      </c>
      <c r="H64" s="108">
        <v>69</v>
      </c>
      <c r="I64" s="108">
        <v>0</v>
      </c>
      <c r="J64" s="108">
        <v>271</v>
      </c>
      <c r="K64" s="108">
        <v>44</v>
      </c>
      <c r="L64" s="108">
        <v>0</v>
      </c>
      <c r="M64" s="108">
        <v>6</v>
      </c>
      <c r="N64" s="108">
        <v>3</v>
      </c>
      <c r="O64" s="108">
        <v>0</v>
      </c>
      <c r="P64" s="108">
        <v>0</v>
      </c>
      <c r="Q64" s="66">
        <f t="shared" si="30"/>
        <v>550</v>
      </c>
      <c r="R64" s="59">
        <f t="shared" si="32"/>
        <v>173</v>
      </c>
      <c r="S64" s="59">
        <f t="shared" si="31"/>
        <v>723</v>
      </c>
      <c r="T64" s="59">
        <f t="shared" si="33"/>
        <v>3</v>
      </c>
      <c r="U64" s="59">
        <f t="shared" si="34"/>
        <v>723</v>
      </c>
      <c r="V64" s="60">
        <f t="shared" si="35"/>
        <v>1066</v>
      </c>
    </row>
    <row r="65" spans="1:22" x14ac:dyDescent="0.3">
      <c r="A65" s="62" t="str">
        <f t="shared" si="29"/>
        <v>09:00-10:00</v>
      </c>
      <c r="B65" s="108">
        <v>271</v>
      </c>
      <c r="C65" s="140">
        <v>29</v>
      </c>
      <c r="D65" s="108">
        <v>10</v>
      </c>
      <c r="E65" s="108">
        <v>17</v>
      </c>
      <c r="F65" s="108">
        <v>12</v>
      </c>
      <c r="G65" s="108">
        <v>30</v>
      </c>
      <c r="H65" s="108">
        <v>60</v>
      </c>
      <c r="I65" s="108">
        <v>0</v>
      </c>
      <c r="J65" s="108">
        <v>272</v>
      </c>
      <c r="K65" s="108">
        <v>70</v>
      </c>
      <c r="L65" s="108">
        <v>0</v>
      </c>
      <c r="M65" s="108">
        <v>4</v>
      </c>
      <c r="N65" s="108">
        <v>0</v>
      </c>
      <c r="O65" s="108">
        <v>0</v>
      </c>
      <c r="P65" s="108">
        <v>0</v>
      </c>
      <c r="Q65" s="66">
        <f t="shared" si="30"/>
        <v>642</v>
      </c>
      <c r="R65" s="59">
        <f t="shared" si="32"/>
        <v>133</v>
      </c>
      <c r="S65" s="59">
        <f t="shared" si="31"/>
        <v>775</v>
      </c>
      <c r="T65" s="59">
        <f t="shared" si="33"/>
        <v>0</v>
      </c>
      <c r="U65" s="59">
        <f t="shared" si="34"/>
        <v>775</v>
      </c>
      <c r="V65" s="60">
        <f t="shared" si="35"/>
        <v>1013.5</v>
      </c>
    </row>
    <row r="66" spans="1:22" x14ac:dyDescent="0.3">
      <c r="A66" s="62" t="str">
        <f t="shared" si="29"/>
        <v>10:00-11:00</v>
      </c>
      <c r="B66" s="108">
        <v>255</v>
      </c>
      <c r="C66" s="140">
        <v>35</v>
      </c>
      <c r="D66" s="108">
        <v>21</v>
      </c>
      <c r="E66" s="108">
        <v>22</v>
      </c>
      <c r="F66" s="108">
        <v>29</v>
      </c>
      <c r="G66" s="108">
        <v>35</v>
      </c>
      <c r="H66" s="108">
        <v>74</v>
      </c>
      <c r="I66" s="108">
        <v>0</v>
      </c>
      <c r="J66" s="108">
        <v>216</v>
      </c>
      <c r="K66" s="108">
        <v>63</v>
      </c>
      <c r="L66" s="108">
        <v>0</v>
      </c>
      <c r="M66" s="108">
        <v>3</v>
      </c>
      <c r="N66" s="108">
        <v>0</v>
      </c>
      <c r="O66" s="108">
        <v>0</v>
      </c>
      <c r="P66" s="108">
        <v>0</v>
      </c>
      <c r="Q66" s="66">
        <f t="shared" si="30"/>
        <v>569</v>
      </c>
      <c r="R66" s="59">
        <f>D66+E66+F66+G66+H66+I66+L66+M66+P66</f>
        <v>184</v>
      </c>
      <c r="S66" s="59">
        <f t="shared" si="31"/>
        <v>753</v>
      </c>
      <c r="T66" s="59">
        <f t="shared" si="33"/>
        <v>0</v>
      </c>
      <c r="U66" s="59">
        <f t="shared" si="34"/>
        <v>753</v>
      </c>
      <c r="V66" s="60">
        <f t="shared" si="35"/>
        <v>1123.5</v>
      </c>
    </row>
    <row r="67" spans="1:22" x14ac:dyDescent="0.3">
      <c r="A67" s="62" t="str">
        <f t="shared" si="29"/>
        <v>11:00-12:00</v>
      </c>
      <c r="B67" s="108">
        <v>168</v>
      </c>
      <c r="C67" s="140">
        <v>21</v>
      </c>
      <c r="D67" s="108">
        <v>26</v>
      </c>
      <c r="E67" s="108">
        <v>18</v>
      </c>
      <c r="F67" s="108">
        <v>22</v>
      </c>
      <c r="G67" s="108">
        <v>33</v>
      </c>
      <c r="H67" s="108">
        <v>76</v>
      </c>
      <c r="I67" s="108">
        <v>0</v>
      </c>
      <c r="J67" s="108">
        <v>165</v>
      </c>
      <c r="K67" s="108">
        <v>42</v>
      </c>
      <c r="L67" s="108">
        <v>0</v>
      </c>
      <c r="M67" s="108">
        <v>3</v>
      </c>
      <c r="N67" s="108">
        <v>0</v>
      </c>
      <c r="O67" s="108">
        <v>0</v>
      </c>
      <c r="P67" s="108">
        <v>0</v>
      </c>
      <c r="Q67" s="66">
        <f t="shared" si="30"/>
        <v>396</v>
      </c>
      <c r="R67" s="59">
        <f t="shared" si="32"/>
        <v>178</v>
      </c>
      <c r="S67" s="59">
        <f t="shared" si="31"/>
        <v>574</v>
      </c>
      <c r="T67" s="59">
        <f t="shared" si="33"/>
        <v>0</v>
      </c>
      <c r="U67" s="59">
        <f t="shared" si="34"/>
        <v>574</v>
      </c>
      <c r="V67" s="60">
        <f t="shared" si="35"/>
        <v>929</v>
      </c>
    </row>
    <row r="68" spans="1:22" x14ac:dyDescent="0.3">
      <c r="A68" s="48" t="s">
        <v>23</v>
      </c>
      <c r="B68" s="146">
        <f>SUM(B44:B67)</f>
        <v>3509</v>
      </c>
      <c r="C68" s="94">
        <f t="shared" ref="C68" si="36">SUM(C44:C67)</f>
        <v>454</v>
      </c>
      <c r="D68" s="146">
        <f t="shared" ref="D68:U68" si="37">SUM(D44:D67)</f>
        <v>334</v>
      </c>
      <c r="E68" s="110">
        <f t="shared" si="37"/>
        <v>430</v>
      </c>
      <c r="F68" s="146">
        <f t="shared" si="37"/>
        <v>427</v>
      </c>
      <c r="G68" s="146">
        <f t="shared" si="37"/>
        <v>723</v>
      </c>
      <c r="H68" s="146">
        <f t="shared" si="37"/>
        <v>1355</v>
      </c>
      <c r="I68" s="146">
        <f t="shared" si="37"/>
        <v>0</v>
      </c>
      <c r="J68" s="146">
        <f>SUM(J44:J67)</f>
        <v>3346</v>
      </c>
      <c r="K68" s="146">
        <f t="shared" si="37"/>
        <v>596</v>
      </c>
      <c r="L68" s="146">
        <f t="shared" si="37"/>
        <v>10</v>
      </c>
      <c r="M68" s="146">
        <f t="shared" si="37"/>
        <v>42</v>
      </c>
      <c r="N68" s="146">
        <f t="shared" si="37"/>
        <v>15</v>
      </c>
      <c r="O68" s="146">
        <f t="shared" si="37"/>
        <v>0</v>
      </c>
      <c r="P68" s="146">
        <f t="shared" si="37"/>
        <v>0</v>
      </c>
      <c r="Q68" s="107">
        <f>SUM(Q44:Q67)</f>
        <v>7920</v>
      </c>
      <c r="R68" s="30">
        <f t="shared" si="37"/>
        <v>3321</v>
      </c>
      <c r="S68" s="31">
        <f t="shared" si="37"/>
        <v>11241</v>
      </c>
      <c r="T68" s="30">
        <f t="shared" si="37"/>
        <v>15</v>
      </c>
      <c r="U68" s="31">
        <f t="shared" si="37"/>
        <v>11241</v>
      </c>
      <c r="V68" s="31">
        <f>SUM(V44:V67)</f>
        <v>17878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42:A43"/>
    <mergeCell ref="N42:O42"/>
    <mergeCell ref="B42:M42"/>
    <mergeCell ref="B8:M8"/>
    <mergeCell ref="N8:O8"/>
    <mergeCell ref="A38:V38"/>
    <mergeCell ref="B39:P39"/>
    <mergeCell ref="R39:V39"/>
    <mergeCell ref="B40:V40"/>
    <mergeCell ref="W4:AR4"/>
    <mergeCell ref="W6:AR6"/>
    <mergeCell ref="W8:W9"/>
    <mergeCell ref="X8:AI8"/>
    <mergeCell ref="AJ8:AK8"/>
    <mergeCell ref="X5:AI5"/>
    <mergeCell ref="AK5:AR5"/>
    <mergeCell ref="A4:V4"/>
    <mergeCell ref="A8:A9"/>
    <mergeCell ref="B5:P5"/>
    <mergeCell ref="B6:V6"/>
    <mergeCell ref="R5:V5"/>
  </mergeCells>
  <pageMargins left="0.7" right="0.7" top="0.75" bottom="0.75" header="0.3" footer="0.3"/>
  <pageSetup paperSize="9" orientation="landscape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3:AR98"/>
  <sheetViews>
    <sheetView topLeftCell="A46" zoomScale="98" zoomScaleNormal="98" workbookViewId="0">
      <selection activeCell="A34" sqref="A34:M36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7" width="5" style="1" bestFit="1" customWidth="1"/>
    <col min="28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0" t="s">
        <v>24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9" t="s">
        <v>24</v>
      </c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1"/>
    </row>
    <row r="5" spans="1:44" x14ac:dyDescent="0.3">
      <c r="A5" s="143" t="s">
        <v>201</v>
      </c>
      <c r="B5" s="153" t="str">
        <f>'Day-1'!B5:P5</f>
        <v>Nathavalasa Toll Plaza</v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5"/>
      <c r="Q5" s="143" t="s">
        <v>202</v>
      </c>
      <c r="R5" s="156">
        <v>45233</v>
      </c>
      <c r="S5" s="157"/>
      <c r="T5" s="157"/>
      <c r="U5" s="157"/>
      <c r="V5" s="158"/>
      <c r="W5" s="143" t="str">
        <f>A5</f>
        <v xml:space="preserve">Location: </v>
      </c>
      <c r="X5" s="153" t="str">
        <f>B5</f>
        <v>Nathavalasa Toll Plaza</v>
      </c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5"/>
      <c r="AJ5" s="143" t="s">
        <v>202</v>
      </c>
      <c r="AK5" s="156">
        <f>R5</f>
        <v>45233</v>
      </c>
      <c r="AL5" s="168"/>
      <c r="AM5" s="168"/>
      <c r="AN5" s="168"/>
      <c r="AO5" s="168"/>
      <c r="AP5" s="168"/>
      <c r="AQ5" s="168"/>
      <c r="AR5" s="169"/>
    </row>
    <row r="6" spans="1:44" x14ac:dyDescent="0.3">
      <c r="A6" s="144" t="s">
        <v>207</v>
      </c>
      <c r="B6" s="153" t="str">
        <f>'Day-1'!B6:V6</f>
        <v>Ranasthalam to Anandapuram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5"/>
      <c r="W6" s="153" t="s">
        <v>1</v>
      </c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5"/>
    </row>
    <row r="7" spans="1:44" x14ac:dyDescent="0.3">
      <c r="A7" s="14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1" t="s">
        <v>2</v>
      </c>
      <c r="B8" s="171" t="s">
        <v>80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0" t="s">
        <v>81</v>
      </c>
      <c r="O8" s="170"/>
      <c r="P8" s="103"/>
      <c r="Q8" s="104"/>
      <c r="R8" s="104"/>
      <c r="S8" s="104"/>
      <c r="T8" s="104"/>
      <c r="U8" s="104"/>
      <c r="V8" s="105"/>
      <c r="W8" s="162" t="s">
        <v>2</v>
      </c>
      <c r="X8" s="163" t="s">
        <v>80</v>
      </c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5"/>
      <c r="AJ8" s="166" t="s">
        <v>81</v>
      </c>
      <c r="AK8" s="167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2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1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49" t="s">
        <v>76</v>
      </c>
      <c r="AM9" s="149" t="s">
        <v>17</v>
      </c>
      <c r="AN9" s="149" t="s">
        <v>18</v>
      </c>
      <c r="AO9" s="149" t="s">
        <v>19</v>
      </c>
      <c r="AP9" s="149" t="s">
        <v>20</v>
      </c>
      <c r="AQ9" s="149" t="s">
        <v>21</v>
      </c>
      <c r="AR9" s="149" t="s">
        <v>22</v>
      </c>
    </row>
    <row r="10" spans="1:44" x14ac:dyDescent="0.3">
      <c r="A10" s="62" t="str">
        <f>'Day-1'!A10</f>
        <v>12:00-13:00</v>
      </c>
      <c r="B10" s="108">
        <v>139</v>
      </c>
      <c r="C10" s="140">
        <v>23</v>
      </c>
      <c r="D10" s="108">
        <v>17</v>
      </c>
      <c r="E10" s="108">
        <v>24</v>
      </c>
      <c r="F10" s="108">
        <v>14</v>
      </c>
      <c r="G10" s="108">
        <v>21</v>
      </c>
      <c r="H10" s="108">
        <v>56</v>
      </c>
      <c r="I10" s="108">
        <v>0</v>
      </c>
      <c r="J10" s="108">
        <v>142</v>
      </c>
      <c r="K10" s="108">
        <v>47</v>
      </c>
      <c r="L10" s="108">
        <v>0</v>
      </c>
      <c r="M10" s="108">
        <v>2</v>
      </c>
      <c r="N10" s="108">
        <v>0</v>
      </c>
      <c r="O10" s="108">
        <v>0</v>
      </c>
      <c r="P10" s="108">
        <v>0</v>
      </c>
      <c r="Q10" s="63">
        <f>B10+C10+J10+K10+N10+O10</f>
        <v>351</v>
      </c>
      <c r="R10" s="45">
        <f>D10+E10+F10+G10+H10+I10+L10+M10+P10</f>
        <v>134</v>
      </c>
      <c r="S10" s="45">
        <f t="shared" ref="S10:S33" si="0">Q10+R10</f>
        <v>485</v>
      </c>
      <c r="T10" s="45">
        <f>N10+O10</f>
        <v>0</v>
      </c>
      <c r="U10" s="45">
        <f>SUM(B10:P10)</f>
        <v>485</v>
      </c>
      <c r="V10" s="46">
        <f>SUMPRODUCT(B10:P10,$B$7:$P$7)</f>
        <v>745</v>
      </c>
      <c r="W10" s="47" t="str">
        <f t="shared" ref="W10:W33" si="1">A10</f>
        <v>12:00-13:00</v>
      </c>
      <c r="X10" s="45">
        <f>B10+B44</f>
        <v>268</v>
      </c>
      <c r="Y10" s="45">
        <f>C10+C44</f>
        <v>41</v>
      </c>
      <c r="Z10" s="45">
        <f>D10+D44</f>
        <v>46</v>
      </c>
      <c r="AA10" s="45">
        <f>E10+E44</f>
        <v>49</v>
      </c>
      <c r="AB10" s="45">
        <f>F10+F44</f>
        <v>36</v>
      </c>
      <c r="AC10" s="45">
        <f>G10+G44</f>
        <v>48</v>
      </c>
      <c r="AD10" s="45">
        <f>H10+H44</f>
        <v>118</v>
      </c>
      <c r="AE10" s="45">
        <f>I10+I44</f>
        <v>0</v>
      </c>
      <c r="AF10" s="45">
        <f>J10+J44</f>
        <v>275</v>
      </c>
      <c r="AG10" s="45">
        <f>K10+K44</f>
        <v>92</v>
      </c>
      <c r="AH10" s="45">
        <f>L10+L44</f>
        <v>0</v>
      </c>
      <c r="AI10" s="45">
        <f>M10+M44</f>
        <v>6</v>
      </c>
      <c r="AJ10" s="45">
        <f>N10+N44</f>
        <v>0</v>
      </c>
      <c r="AK10" s="45">
        <f>O10+O44</f>
        <v>0</v>
      </c>
      <c r="AL10" s="45">
        <f>P10+P44</f>
        <v>0</v>
      </c>
      <c r="AM10" s="45">
        <f>Q10+Q44</f>
        <v>676</v>
      </c>
      <c r="AN10" s="45">
        <f>R10+R44</f>
        <v>303</v>
      </c>
      <c r="AO10" s="45">
        <f>S10+S44</f>
        <v>979</v>
      </c>
      <c r="AP10" s="45">
        <f>T10+T44</f>
        <v>0</v>
      </c>
      <c r="AQ10" s="45">
        <f>U10+U44</f>
        <v>979</v>
      </c>
      <c r="AR10" s="53">
        <f>V10+V44</f>
        <v>1550</v>
      </c>
    </row>
    <row r="11" spans="1:44" x14ac:dyDescent="0.3">
      <c r="A11" s="62" t="str">
        <f>'Day-1'!A11</f>
        <v>13:00-14:00</v>
      </c>
      <c r="B11" s="108">
        <v>112</v>
      </c>
      <c r="C11" s="140">
        <v>18</v>
      </c>
      <c r="D11" s="108">
        <v>18</v>
      </c>
      <c r="E11" s="108">
        <v>25</v>
      </c>
      <c r="F11" s="108">
        <v>10</v>
      </c>
      <c r="G11" s="108">
        <v>17</v>
      </c>
      <c r="H11" s="108">
        <v>45</v>
      </c>
      <c r="I11" s="108">
        <v>0</v>
      </c>
      <c r="J11" s="108">
        <v>113</v>
      </c>
      <c r="K11" s="108">
        <v>35</v>
      </c>
      <c r="L11" s="108">
        <v>0</v>
      </c>
      <c r="M11" s="108">
        <v>4</v>
      </c>
      <c r="N11" s="108">
        <v>0</v>
      </c>
      <c r="O11" s="108">
        <v>2</v>
      </c>
      <c r="P11" s="108">
        <v>0</v>
      </c>
      <c r="Q11" s="63">
        <f t="shared" ref="Q11:Q33" si="2">B11+C11+J11+K11+N11+O11</f>
        <v>280</v>
      </c>
      <c r="R11" s="45">
        <f t="shared" ref="R11:R33" si="3">D11+E11+F11+G11+H11+I11+L11+M11+P11</f>
        <v>119</v>
      </c>
      <c r="S11" s="45">
        <f t="shared" si="0"/>
        <v>399</v>
      </c>
      <c r="T11" s="45">
        <f t="shared" ref="T11:T33" si="4">N11+O11</f>
        <v>2</v>
      </c>
      <c r="U11" s="45">
        <f t="shared" ref="U11:U33" si="5">SUM(B11:P11)</f>
        <v>399</v>
      </c>
      <c r="V11" s="46">
        <f t="shared" ref="V11:V33" si="6">SUMPRODUCT(B11:P11,$B$7:$P$7)</f>
        <v>618.5</v>
      </c>
      <c r="W11" s="47" t="str">
        <f t="shared" si="1"/>
        <v>13:00-14:00</v>
      </c>
      <c r="X11" s="45">
        <f>B11+B45</f>
        <v>236</v>
      </c>
      <c r="Y11" s="45">
        <f>C11+C45</f>
        <v>41</v>
      </c>
      <c r="Z11" s="45">
        <f>D11+D45</f>
        <v>39</v>
      </c>
      <c r="AA11" s="45">
        <f>E11+E45</f>
        <v>48</v>
      </c>
      <c r="AB11" s="45">
        <f>F11+F45</f>
        <v>35</v>
      </c>
      <c r="AC11" s="45">
        <f>G11+G45</f>
        <v>33</v>
      </c>
      <c r="AD11" s="45">
        <f>H11+H45</f>
        <v>87</v>
      </c>
      <c r="AE11" s="45">
        <f>I11+I45</f>
        <v>0</v>
      </c>
      <c r="AF11" s="45">
        <f>J11+J45</f>
        <v>233</v>
      </c>
      <c r="AG11" s="45">
        <f>K11+K45</f>
        <v>81</v>
      </c>
      <c r="AH11" s="45">
        <f>L11+L45</f>
        <v>0</v>
      </c>
      <c r="AI11" s="45">
        <f>M11+M45</f>
        <v>4</v>
      </c>
      <c r="AJ11" s="45">
        <f>N11+N45</f>
        <v>0</v>
      </c>
      <c r="AK11" s="45">
        <f>O11+O45</f>
        <v>2</v>
      </c>
      <c r="AL11" s="45">
        <f>P11+P45</f>
        <v>0</v>
      </c>
      <c r="AM11" s="45">
        <f>Q11+Q45</f>
        <v>593</v>
      </c>
      <c r="AN11" s="45">
        <f>R11+R45</f>
        <v>246</v>
      </c>
      <c r="AO11" s="45">
        <f>S11+S45</f>
        <v>839</v>
      </c>
      <c r="AP11" s="45">
        <f>T11+T45</f>
        <v>2</v>
      </c>
      <c r="AQ11" s="45">
        <f>U11+U45</f>
        <v>839</v>
      </c>
      <c r="AR11" s="45">
        <f>V11+V45</f>
        <v>1285</v>
      </c>
    </row>
    <row r="12" spans="1:44" x14ac:dyDescent="0.3">
      <c r="A12" s="62" t="str">
        <f>'Day-1'!A12</f>
        <v>14:00-15:00</v>
      </c>
      <c r="B12" s="108">
        <v>132</v>
      </c>
      <c r="C12" s="140">
        <v>30</v>
      </c>
      <c r="D12" s="108">
        <v>13</v>
      </c>
      <c r="E12" s="108">
        <v>5</v>
      </c>
      <c r="F12" s="108">
        <v>16</v>
      </c>
      <c r="G12" s="108">
        <v>22</v>
      </c>
      <c r="H12" s="108">
        <v>44</v>
      </c>
      <c r="I12" s="108">
        <v>0</v>
      </c>
      <c r="J12" s="108">
        <v>133</v>
      </c>
      <c r="K12" s="108">
        <v>27</v>
      </c>
      <c r="L12" s="108">
        <v>2</v>
      </c>
      <c r="M12" s="108">
        <v>2</v>
      </c>
      <c r="N12" s="108">
        <v>0</v>
      </c>
      <c r="O12" s="108">
        <v>0</v>
      </c>
      <c r="P12" s="108">
        <v>0</v>
      </c>
      <c r="Q12" s="63">
        <f t="shared" si="2"/>
        <v>322</v>
      </c>
      <c r="R12" s="45">
        <f>D12+E12+F12+G12+H12+I12+L12+M12+P12</f>
        <v>104</v>
      </c>
      <c r="S12" s="45">
        <f t="shared" si="0"/>
        <v>426</v>
      </c>
      <c r="T12" s="45">
        <f t="shared" si="4"/>
        <v>0</v>
      </c>
      <c r="U12" s="45">
        <f t="shared" si="5"/>
        <v>426</v>
      </c>
      <c r="V12" s="46">
        <f t="shared" si="6"/>
        <v>660</v>
      </c>
      <c r="W12" s="47" t="str">
        <f t="shared" si="1"/>
        <v>14:00-15:00</v>
      </c>
      <c r="X12" s="45">
        <f>B12+B46</f>
        <v>282</v>
      </c>
      <c r="Y12" s="45">
        <f>C12+C46</f>
        <v>49</v>
      </c>
      <c r="Z12" s="45">
        <f>D12+D46</f>
        <v>44</v>
      </c>
      <c r="AA12" s="45">
        <f>E12+E46</f>
        <v>35</v>
      </c>
      <c r="AB12" s="45">
        <f>F12+F46</f>
        <v>28</v>
      </c>
      <c r="AC12" s="45">
        <f>G12+G46</f>
        <v>47</v>
      </c>
      <c r="AD12" s="45">
        <f>H12+H46</f>
        <v>87</v>
      </c>
      <c r="AE12" s="45">
        <f>I12+I46</f>
        <v>0</v>
      </c>
      <c r="AF12" s="45">
        <f>J12+J46</f>
        <v>222</v>
      </c>
      <c r="AG12" s="45">
        <f>K12+K46</f>
        <v>58</v>
      </c>
      <c r="AH12" s="45">
        <f>L12+L46</f>
        <v>2</v>
      </c>
      <c r="AI12" s="45">
        <f>M12+M46</f>
        <v>4</v>
      </c>
      <c r="AJ12" s="45">
        <f>N12+N46</f>
        <v>0</v>
      </c>
      <c r="AK12" s="45">
        <f>O12+O46</f>
        <v>0</v>
      </c>
      <c r="AL12" s="45">
        <f>P12+P46</f>
        <v>0</v>
      </c>
      <c r="AM12" s="45">
        <f>Q12+Q46</f>
        <v>611</v>
      </c>
      <c r="AN12" s="45">
        <f>R12+R46</f>
        <v>247</v>
      </c>
      <c r="AO12" s="45">
        <f>S12+S46</f>
        <v>858</v>
      </c>
      <c r="AP12" s="45">
        <f>T12+T46</f>
        <v>0</v>
      </c>
      <c r="AQ12" s="45">
        <f>U12+U46</f>
        <v>858</v>
      </c>
      <c r="AR12" s="45">
        <f>V12+V46</f>
        <v>1332</v>
      </c>
    </row>
    <row r="13" spans="1:44" x14ac:dyDescent="0.3">
      <c r="A13" s="62" t="str">
        <f>'Day-1'!A13</f>
        <v>15:00-16:00</v>
      </c>
      <c r="B13" s="108">
        <v>162</v>
      </c>
      <c r="C13" s="141">
        <v>27</v>
      </c>
      <c r="D13" s="108">
        <v>19</v>
      </c>
      <c r="E13" s="108">
        <v>22</v>
      </c>
      <c r="F13" s="108">
        <v>14</v>
      </c>
      <c r="G13" s="108">
        <v>33</v>
      </c>
      <c r="H13" s="108">
        <v>55</v>
      </c>
      <c r="I13" s="108">
        <v>0</v>
      </c>
      <c r="J13" s="108">
        <v>134</v>
      </c>
      <c r="K13" s="108">
        <v>38</v>
      </c>
      <c r="L13" s="108">
        <v>0</v>
      </c>
      <c r="M13" s="108">
        <v>3</v>
      </c>
      <c r="N13" s="108">
        <v>0</v>
      </c>
      <c r="O13" s="108">
        <v>0</v>
      </c>
      <c r="P13" s="108">
        <v>0</v>
      </c>
      <c r="Q13" s="63">
        <f t="shared" si="2"/>
        <v>361</v>
      </c>
      <c r="R13" s="45">
        <f t="shared" si="3"/>
        <v>146</v>
      </c>
      <c r="S13" s="45">
        <f t="shared" si="0"/>
        <v>507</v>
      </c>
      <c r="T13" s="45">
        <f t="shared" si="4"/>
        <v>0</v>
      </c>
      <c r="U13" s="45">
        <f t="shared" si="5"/>
        <v>507</v>
      </c>
      <c r="V13" s="46">
        <f t="shared" si="6"/>
        <v>802</v>
      </c>
      <c r="W13" s="47" t="str">
        <f t="shared" si="1"/>
        <v>15:00-16:00</v>
      </c>
      <c r="X13" s="45">
        <f>B13+B47</f>
        <v>337</v>
      </c>
      <c r="Y13" s="45">
        <f>C13+C47</f>
        <v>51</v>
      </c>
      <c r="Z13" s="45">
        <f>D13+D47</f>
        <v>45</v>
      </c>
      <c r="AA13" s="45">
        <f>E13+E47</f>
        <v>50</v>
      </c>
      <c r="AB13" s="45">
        <f>F13+F47</f>
        <v>41</v>
      </c>
      <c r="AC13" s="45">
        <f>G13+G47</f>
        <v>83</v>
      </c>
      <c r="AD13" s="45">
        <f>H13+H47</f>
        <v>111</v>
      </c>
      <c r="AE13" s="45">
        <f>I13+I47</f>
        <v>0</v>
      </c>
      <c r="AF13" s="45">
        <f>J13+J47</f>
        <v>225</v>
      </c>
      <c r="AG13" s="45">
        <f>K13+K47</f>
        <v>69</v>
      </c>
      <c r="AH13" s="45">
        <f>L13+L47</f>
        <v>0</v>
      </c>
      <c r="AI13" s="45">
        <f>M13+M47</f>
        <v>8</v>
      </c>
      <c r="AJ13" s="45">
        <f>N13+N47</f>
        <v>0</v>
      </c>
      <c r="AK13" s="45">
        <f>O13+O47</f>
        <v>0</v>
      </c>
      <c r="AL13" s="45">
        <f>P13+P47</f>
        <v>0</v>
      </c>
      <c r="AM13" s="45">
        <f>Q13+Q47</f>
        <v>682</v>
      </c>
      <c r="AN13" s="45">
        <f>R13+R47</f>
        <v>338</v>
      </c>
      <c r="AO13" s="45">
        <f>S13+S47</f>
        <v>1020</v>
      </c>
      <c r="AP13" s="45">
        <f>T13+T47</f>
        <v>0</v>
      </c>
      <c r="AQ13" s="45">
        <f>U13+U47</f>
        <v>1020</v>
      </c>
      <c r="AR13" s="45">
        <f>V13+V47</f>
        <v>1699</v>
      </c>
    </row>
    <row r="14" spans="1:44" x14ac:dyDescent="0.3">
      <c r="A14" s="62" t="str">
        <f>'Day-1'!A14</f>
        <v>16:00-17:00</v>
      </c>
      <c r="B14" s="108">
        <v>196</v>
      </c>
      <c r="C14" s="141">
        <v>28</v>
      </c>
      <c r="D14" s="108">
        <v>25</v>
      </c>
      <c r="E14" s="108">
        <v>23</v>
      </c>
      <c r="F14" s="108">
        <v>19</v>
      </c>
      <c r="G14" s="108">
        <v>19</v>
      </c>
      <c r="H14" s="108">
        <v>56</v>
      </c>
      <c r="I14" s="108">
        <v>0</v>
      </c>
      <c r="J14" s="108">
        <v>203</v>
      </c>
      <c r="K14" s="108">
        <v>46</v>
      </c>
      <c r="L14" s="108">
        <v>0</v>
      </c>
      <c r="M14" s="108">
        <v>6</v>
      </c>
      <c r="N14" s="108">
        <v>0</v>
      </c>
      <c r="O14" s="108">
        <v>0</v>
      </c>
      <c r="P14" s="108">
        <v>0</v>
      </c>
      <c r="Q14" s="63">
        <f t="shared" si="2"/>
        <v>473</v>
      </c>
      <c r="R14" s="45">
        <f t="shared" si="3"/>
        <v>148</v>
      </c>
      <c r="S14" s="45">
        <f t="shared" si="0"/>
        <v>621</v>
      </c>
      <c r="T14" s="45">
        <f t="shared" si="4"/>
        <v>0</v>
      </c>
      <c r="U14" s="45">
        <f t="shared" si="5"/>
        <v>621</v>
      </c>
      <c r="V14" s="46">
        <f t="shared" si="6"/>
        <v>880</v>
      </c>
      <c r="W14" s="47" t="str">
        <f t="shared" si="1"/>
        <v>16:00-17:00</v>
      </c>
      <c r="X14" s="45">
        <f>B14+B48</f>
        <v>359</v>
      </c>
      <c r="Y14" s="45">
        <f>C14+C48</f>
        <v>58</v>
      </c>
      <c r="Z14" s="45">
        <f>D14+D48</f>
        <v>44</v>
      </c>
      <c r="AA14" s="45">
        <f>E14+E48</f>
        <v>53</v>
      </c>
      <c r="AB14" s="45">
        <f>F14+F48</f>
        <v>41</v>
      </c>
      <c r="AC14" s="45">
        <f>G14+G48</f>
        <v>46</v>
      </c>
      <c r="AD14" s="45">
        <f>H14+H48</f>
        <v>120</v>
      </c>
      <c r="AE14" s="45">
        <f>I14+I48</f>
        <v>0</v>
      </c>
      <c r="AF14" s="45">
        <f>J14+J48</f>
        <v>343</v>
      </c>
      <c r="AG14" s="45">
        <f>K14+K48</f>
        <v>78</v>
      </c>
      <c r="AH14" s="45">
        <f>L14+L48</f>
        <v>4</v>
      </c>
      <c r="AI14" s="45">
        <f>M14+M48</f>
        <v>10</v>
      </c>
      <c r="AJ14" s="45">
        <f>N14+N48</f>
        <v>0</v>
      </c>
      <c r="AK14" s="45">
        <f>O14+O48</f>
        <v>0</v>
      </c>
      <c r="AL14" s="45">
        <f>P14+P48</f>
        <v>0</v>
      </c>
      <c r="AM14" s="45">
        <f>Q14+Q48</f>
        <v>838</v>
      </c>
      <c r="AN14" s="45">
        <f>R14+R48</f>
        <v>318</v>
      </c>
      <c r="AO14" s="45">
        <f>S14+S48</f>
        <v>1156</v>
      </c>
      <c r="AP14" s="45">
        <f>T14+T48</f>
        <v>0</v>
      </c>
      <c r="AQ14" s="45">
        <f>U14+U48</f>
        <v>1156</v>
      </c>
      <c r="AR14" s="45">
        <f>V14+V48</f>
        <v>1758</v>
      </c>
    </row>
    <row r="15" spans="1:44" x14ac:dyDescent="0.3">
      <c r="A15" s="62" t="str">
        <f>'Day-1'!A15</f>
        <v>17:00-18:00</v>
      </c>
      <c r="B15" s="108">
        <v>194</v>
      </c>
      <c r="C15" s="141">
        <v>26</v>
      </c>
      <c r="D15" s="108">
        <v>27</v>
      </c>
      <c r="E15" s="108">
        <v>26</v>
      </c>
      <c r="F15" s="108">
        <v>22</v>
      </c>
      <c r="G15" s="108">
        <v>21</v>
      </c>
      <c r="H15" s="108">
        <v>66</v>
      </c>
      <c r="I15" s="108">
        <v>0</v>
      </c>
      <c r="J15" s="108">
        <v>278</v>
      </c>
      <c r="K15" s="108">
        <v>48</v>
      </c>
      <c r="L15" s="108">
        <v>0</v>
      </c>
      <c r="M15" s="108">
        <v>6</v>
      </c>
      <c r="N15" s="108">
        <v>0</v>
      </c>
      <c r="O15" s="108">
        <v>0</v>
      </c>
      <c r="P15" s="108">
        <v>0</v>
      </c>
      <c r="Q15" s="63">
        <f t="shared" si="2"/>
        <v>546</v>
      </c>
      <c r="R15" s="45">
        <f t="shared" si="3"/>
        <v>168</v>
      </c>
      <c r="S15" s="45">
        <f t="shared" si="0"/>
        <v>714</v>
      </c>
      <c r="T15" s="45">
        <f t="shared" si="4"/>
        <v>0</v>
      </c>
      <c r="U15" s="45">
        <f t="shared" si="5"/>
        <v>714</v>
      </c>
      <c r="V15" s="46">
        <f t="shared" si="6"/>
        <v>978</v>
      </c>
      <c r="W15" s="47" t="str">
        <f t="shared" si="1"/>
        <v>17:00-18:00</v>
      </c>
      <c r="X15" s="45">
        <f>B15+B49</f>
        <v>363</v>
      </c>
      <c r="Y15" s="45">
        <f>C15+C49</f>
        <v>50</v>
      </c>
      <c r="Z15" s="45">
        <f>D15+D49</f>
        <v>50</v>
      </c>
      <c r="AA15" s="45">
        <f>E15+E49</f>
        <v>53</v>
      </c>
      <c r="AB15" s="45">
        <f>F15+F49</f>
        <v>36</v>
      </c>
      <c r="AC15" s="45">
        <f>G15+G49</f>
        <v>48</v>
      </c>
      <c r="AD15" s="45">
        <f>H15+H49</f>
        <v>123</v>
      </c>
      <c r="AE15" s="45">
        <f>I15+I49</f>
        <v>0</v>
      </c>
      <c r="AF15" s="45">
        <f>J15+J49</f>
        <v>503</v>
      </c>
      <c r="AG15" s="45">
        <f>K15+K49</f>
        <v>86</v>
      </c>
      <c r="AH15" s="45">
        <f>L15+L49</f>
        <v>0</v>
      </c>
      <c r="AI15" s="45">
        <f>M15+M49</f>
        <v>9</v>
      </c>
      <c r="AJ15" s="45">
        <f>N15+N49</f>
        <v>0</v>
      </c>
      <c r="AK15" s="45">
        <f>O15+O49</f>
        <v>0</v>
      </c>
      <c r="AL15" s="45">
        <f>P15+P49</f>
        <v>0</v>
      </c>
      <c r="AM15" s="45">
        <f>Q15+Q49</f>
        <v>1002</v>
      </c>
      <c r="AN15" s="45">
        <f>R15+R49</f>
        <v>319</v>
      </c>
      <c r="AO15" s="45">
        <f>S15+S49</f>
        <v>1321</v>
      </c>
      <c r="AP15" s="45">
        <f>T15+T49</f>
        <v>0</v>
      </c>
      <c r="AQ15" s="45">
        <f>U15+U49</f>
        <v>1321</v>
      </c>
      <c r="AR15" s="45">
        <f>V15+V49</f>
        <v>1826</v>
      </c>
    </row>
    <row r="16" spans="1:44" x14ac:dyDescent="0.3">
      <c r="A16" s="62" t="str">
        <f>'Day-1'!A16</f>
        <v>18:00-19:00</v>
      </c>
      <c r="B16" s="108">
        <v>202</v>
      </c>
      <c r="C16" s="140">
        <v>33</v>
      </c>
      <c r="D16" s="108">
        <v>18</v>
      </c>
      <c r="E16" s="108">
        <v>31</v>
      </c>
      <c r="F16" s="108">
        <v>29</v>
      </c>
      <c r="G16" s="108">
        <v>17</v>
      </c>
      <c r="H16" s="108">
        <v>79</v>
      </c>
      <c r="I16" s="108">
        <v>0</v>
      </c>
      <c r="J16" s="108">
        <v>215</v>
      </c>
      <c r="K16" s="108">
        <v>27</v>
      </c>
      <c r="L16" s="108">
        <v>0</v>
      </c>
      <c r="M16" s="108">
        <v>6</v>
      </c>
      <c r="N16" s="108">
        <v>0</v>
      </c>
      <c r="O16" s="108">
        <v>0</v>
      </c>
      <c r="P16" s="108">
        <v>0</v>
      </c>
      <c r="Q16" s="63">
        <f t="shared" si="2"/>
        <v>477</v>
      </c>
      <c r="R16" s="45">
        <f t="shared" si="3"/>
        <v>180</v>
      </c>
      <c r="S16" s="45">
        <f t="shared" si="0"/>
        <v>657</v>
      </c>
      <c r="T16" s="45">
        <f t="shared" si="4"/>
        <v>0</v>
      </c>
      <c r="U16" s="45">
        <f t="shared" si="5"/>
        <v>657</v>
      </c>
      <c r="V16" s="46">
        <f t="shared" si="6"/>
        <v>1020.5</v>
      </c>
      <c r="W16" s="47" t="str">
        <f t="shared" si="1"/>
        <v>18:00-19:00</v>
      </c>
      <c r="X16" s="45">
        <f>B16+B50</f>
        <v>333</v>
      </c>
      <c r="Y16" s="45">
        <f>C16+C50</f>
        <v>59</v>
      </c>
      <c r="Z16" s="45">
        <f>D16+D50</f>
        <v>37</v>
      </c>
      <c r="AA16" s="45">
        <f>E16+E50</f>
        <v>58</v>
      </c>
      <c r="AB16" s="45">
        <f>F16+F50</f>
        <v>46</v>
      </c>
      <c r="AC16" s="45">
        <f>G16+G50</f>
        <v>48</v>
      </c>
      <c r="AD16" s="45">
        <f>H16+H50</f>
        <v>146</v>
      </c>
      <c r="AE16" s="45">
        <f>I16+I50</f>
        <v>0</v>
      </c>
      <c r="AF16" s="45">
        <f>J16+J50</f>
        <v>375</v>
      </c>
      <c r="AG16" s="45">
        <f>K16+K50</f>
        <v>52</v>
      </c>
      <c r="AH16" s="45">
        <f>L16+L50</f>
        <v>0</v>
      </c>
      <c r="AI16" s="45">
        <f>M16+M50</f>
        <v>6</v>
      </c>
      <c r="AJ16" s="45">
        <f>N16+N50</f>
        <v>0</v>
      </c>
      <c r="AK16" s="45">
        <f>O16+O50</f>
        <v>0</v>
      </c>
      <c r="AL16" s="45">
        <f>P16+P50</f>
        <v>0</v>
      </c>
      <c r="AM16" s="45">
        <f>Q16+Q50</f>
        <v>819</v>
      </c>
      <c r="AN16" s="45">
        <f>R16+R50</f>
        <v>341</v>
      </c>
      <c r="AO16" s="45">
        <f>S16+S50</f>
        <v>1160</v>
      </c>
      <c r="AP16" s="45">
        <f>T16+T50</f>
        <v>0</v>
      </c>
      <c r="AQ16" s="45">
        <f>U16+U50</f>
        <v>1160</v>
      </c>
      <c r="AR16" s="45">
        <f>V16+V50</f>
        <v>1839.5</v>
      </c>
    </row>
    <row r="17" spans="1:44" x14ac:dyDescent="0.3">
      <c r="A17" s="62" t="str">
        <f>'Day-1'!A17</f>
        <v>19:00-20:00</v>
      </c>
      <c r="B17" s="108">
        <v>126</v>
      </c>
      <c r="C17" s="140">
        <v>27</v>
      </c>
      <c r="D17" s="108">
        <v>17</v>
      </c>
      <c r="E17" s="108">
        <v>37</v>
      </c>
      <c r="F17" s="108">
        <v>18</v>
      </c>
      <c r="G17" s="108">
        <v>18</v>
      </c>
      <c r="H17" s="108">
        <v>93</v>
      </c>
      <c r="I17" s="108">
        <v>0</v>
      </c>
      <c r="J17" s="108">
        <v>151</v>
      </c>
      <c r="K17" s="108">
        <v>21</v>
      </c>
      <c r="L17" s="108">
        <v>0</v>
      </c>
      <c r="M17" s="108">
        <v>5</v>
      </c>
      <c r="N17" s="108">
        <v>0</v>
      </c>
      <c r="O17" s="108">
        <v>0</v>
      </c>
      <c r="P17" s="108">
        <v>0</v>
      </c>
      <c r="Q17" s="63">
        <f t="shared" si="2"/>
        <v>325</v>
      </c>
      <c r="R17" s="45">
        <f t="shared" si="3"/>
        <v>188</v>
      </c>
      <c r="S17" s="45">
        <f t="shared" si="0"/>
        <v>513</v>
      </c>
      <c r="T17" s="45">
        <f t="shared" si="4"/>
        <v>0</v>
      </c>
      <c r="U17" s="45">
        <f t="shared" si="5"/>
        <v>513</v>
      </c>
      <c r="V17" s="46">
        <f t="shared" si="6"/>
        <v>925</v>
      </c>
      <c r="W17" s="47" t="str">
        <f t="shared" si="1"/>
        <v>19:00-20:00</v>
      </c>
      <c r="X17" s="45">
        <f>B17+B51</f>
        <v>232</v>
      </c>
      <c r="Y17" s="45">
        <f>C17+C51</f>
        <v>48</v>
      </c>
      <c r="Z17" s="45">
        <f>D17+D51</f>
        <v>30</v>
      </c>
      <c r="AA17" s="45">
        <f>E17+E51</f>
        <v>63</v>
      </c>
      <c r="AB17" s="45">
        <f>F17+F51</f>
        <v>29</v>
      </c>
      <c r="AC17" s="45">
        <f>G17+G51</f>
        <v>37</v>
      </c>
      <c r="AD17" s="45">
        <f>H17+H51</f>
        <v>135</v>
      </c>
      <c r="AE17" s="45">
        <f>I17+I51</f>
        <v>0</v>
      </c>
      <c r="AF17" s="45">
        <f>J17+J51</f>
        <v>379</v>
      </c>
      <c r="AG17" s="45">
        <f>K17+K51</f>
        <v>36</v>
      </c>
      <c r="AH17" s="45">
        <f>L17+L51</f>
        <v>0</v>
      </c>
      <c r="AI17" s="45">
        <f>M17+M51</f>
        <v>5</v>
      </c>
      <c r="AJ17" s="45">
        <f>N17+N51</f>
        <v>0</v>
      </c>
      <c r="AK17" s="45">
        <f>O17+O51</f>
        <v>0</v>
      </c>
      <c r="AL17" s="45">
        <f>P17+P51</f>
        <v>0</v>
      </c>
      <c r="AM17" s="45">
        <f>Q17+Q51</f>
        <v>695</v>
      </c>
      <c r="AN17" s="45">
        <f>R17+R51</f>
        <v>299</v>
      </c>
      <c r="AO17" s="45">
        <f>S17+S51</f>
        <v>994</v>
      </c>
      <c r="AP17" s="45">
        <f>T17+T51</f>
        <v>0</v>
      </c>
      <c r="AQ17" s="45">
        <f>U17+U51</f>
        <v>994</v>
      </c>
      <c r="AR17" s="45">
        <f>V17+V51</f>
        <v>1554</v>
      </c>
    </row>
    <row r="18" spans="1:44" x14ac:dyDescent="0.3">
      <c r="A18" s="62" t="str">
        <f>'Day-1'!A18</f>
        <v>20:00-21:00</v>
      </c>
      <c r="B18" s="108">
        <v>111</v>
      </c>
      <c r="C18" s="140">
        <v>29</v>
      </c>
      <c r="D18" s="108">
        <v>17</v>
      </c>
      <c r="E18" s="108">
        <v>37</v>
      </c>
      <c r="F18" s="108">
        <v>22</v>
      </c>
      <c r="G18" s="108">
        <v>15</v>
      </c>
      <c r="H18" s="108">
        <v>78</v>
      </c>
      <c r="I18" s="108">
        <v>0</v>
      </c>
      <c r="J18" s="108">
        <v>133</v>
      </c>
      <c r="K18" s="108">
        <v>11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63">
        <f t="shared" si="2"/>
        <v>284</v>
      </c>
      <c r="R18" s="45">
        <f t="shared" si="3"/>
        <v>169</v>
      </c>
      <c r="S18" s="45">
        <f t="shared" si="0"/>
        <v>453</v>
      </c>
      <c r="T18" s="45">
        <f t="shared" si="4"/>
        <v>0</v>
      </c>
      <c r="U18" s="45">
        <f t="shared" si="5"/>
        <v>453</v>
      </c>
      <c r="V18" s="46">
        <f t="shared" si="6"/>
        <v>810</v>
      </c>
      <c r="W18" s="47" t="str">
        <f t="shared" si="1"/>
        <v>20:00-21:00</v>
      </c>
      <c r="X18" s="45">
        <f>B18+B52</f>
        <v>210</v>
      </c>
      <c r="Y18" s="45">
        <f>C18+C52</f>
        <v>40</v>
      </c>
      <c r="Z18" s="45">
        <f>D18+D52</f>
        <v>36</v>
      </c>
      <c r="AA18" s="45">
        <f>E18+E52</f>
        <v>64</v>
      </c>
      <c r="AB18" s="45">
        <f>F18+F52</f>
        <v>43</v>
      </c>
      <c r="AC18" s="45">
        <f>G18+G52</f>
        <v>30</v>
      </c>
      <c r="AD18" s="45">
        <f>H18+H52</f>
        <v>118</v>
      </c>
      <c r="AE18" s="45">
        <f>I18+I52</f>
        <v>0</v>
      </c>
      <c r="AF18" s="45">
        <f>J18+J52</f>
        <v>270</v>
      </c>
      <c r="AG18" s="45">
        <f>K18+K52</f>
        <v>23</v>
      </c>
      <c r="AH18" s="45">
        <f>L18+L52</f>
        <v>0</v>
      </c>
      <c r="AI18" s="45">
        <f>M18+M52</f>
        <v>0</v>
      </c>
      <c r="AJ18" s="45">
        <f>N18+N52</f>
        <v>0</v>
      </c>
      <c r="AK18" s="45">
        <f>O18+O52</f>
        <v>0</v>
      </c>
      <c r="AL18" s="45">
        <f>P18+P52</f>
        <v>0</v>
      </c>
      <c r="AM18" s="45">
        <f>Q18+Q52</f>
        <v>543</v>
      </c>
      <c r="AN18" s="45">
        <f>R18+R52</f>
        <v>291</v>
      </c>
      <c r="AO18" s="45">
        <f>S18+S52</f>
        <v>834</v>
      </c>
      <c r="AP18" s="45">
        <f>T18+T52</f>
        <v>0</v>
      </c>
      <c r="AQ18" s="45">
        <f>U18+U52</f>
        <v>834</v>
      </c>
      <c r="AR18" s="45">
        <f>V18+V52</f>
        <v>1370</v>
      </c>
    </row>
    <row r="19" spans="1:44" x14ac:dyDescent="0.3">
      <c r="A19" s="62" t="str">
        <f>'Day-1'!A19</f>
        <v>21:00-22:00</v>
      </c>
      <c r="B19" s="108">
        <v>78</v>
      </c>
      <c r="C19" s="142">
        <v>23</v>
      </c>
      <c r="D19" s="108">
        <v>17</v>
      </c>
      <c r="E19" s="108">
        <v>16</v>
      </c>
      <c r="F19" s="108">
        <v>23</v>
      </c>
      <c r="G19" s="108">
        <v>15</v>
      </c>
      <c r="H19" s="108">
        <v>94</v>
      </c>
      <c r="I19" s="108">
        <v>0</v>
      </c>
      <c r="J19" s="108">
        <v>56</v>
      </c>
      <c r="K19" s="108">
        <v>7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66">
        <f t="shared" si="2"/>
        <v>164</v>
      </c>
      <c r="R19" s="59">
        <f t="shared" si="3"/>
        <v>165</v>
      </c>
      <c r="S19" s="59">
        <f t="shared" si="0"/>
        <v>329</v>
      </c>
      <c r="T19" s="59">
        <f t="shared" si="4"/>
        <v>0</v>
      </c>
      <c r="U19" s="59">
        <f t="shared" si="5"/>
        <v>329</v>
      </c>
      <c r="V19" s="60">
        <f t="shared" si="6"/>
        <v>760</v>
      </c>
      <c r="W19" s="47" t="str">
        <f t="shared" si="1"/>
        <v>21:00-22:00</v>
      </c>
      <c r="X19" s="45">
        <f>B19+B53</f>
        <v>169</v>
      </c>
      <c r="Y19" s="45">
        <f>C19+C53</f>
        <v>42</v>
      </c>
      <c r="Z19" s="45">
        <f>D19+D53</f>
        <v>36</v>
      </c>
      <c r="AA19" s="45">
        <f>E19+E53</f>
        <v>38</v>
      </c>
      <c r="AB19" s="45">
        <f>F19+F53</f>
        <v>41</v>
      </c>
      <c r="AC19" s="45">
        <f>G19+G53</f>
        <v>40</v>
      </c>
      <c r="AD19" s="45">
        <f>H19+H53</f>
        <v>137</v>
      </c>
      <c r="AE19" s="45">
        <f>I19+I53</f>
        <v>0</v>
      </c>
      <c r="AF19" s="45">
        <f>J19+J53</f>
        <v>138</v>
      </c>
      <c r="AG19" s="45">
        <f>K19+K53</f>
        <v>16</v>
      </c>
      <c r="AH19" s="45">
        <f>L19+L53</f>
        <v>0</v>
      </c>
      <c r="AI19" s="45">
        <f>M19+M53</f>
        <v>2</v>
      </c>
      <c r="AJ19" s="45">
        <f>N19+N53</f>
        <v>0</v>
      </c>
      <c r="AK19" s="45">
        <f>O19+O53</f>
        <v>0</v>
      </c>
      <c r="AL19" s="45">
        <f>P19+P53</f>
        <v>0</v>
      </c>
      <c r="AM19" s="45">
        <f>Q19+Q53</f>
        <v>365</v>
      </c>
      <c r="AN19" s="45">
        <f>R19+R53</f>
        <v>294</v>
      </c>
      <c r="AO19" s="45">
        <f>S19+S53</f>
        <v>659</v>
      </c>
      <c r="AP19" s="45">
        <f>T19+T53</f>
        <v>0</v>
      </c>
      <c r="AQ19" s="45">
        <f>U19+U53</f>
        <v>659</v>
      </c>
      <c r="AR19" s="45">
        <f>V19+V53</f>
        <v>1341.5</v>
      </c>
    </row>
    <row r="20" spans="1:44" x14ac:dyDescent="0.3">
      <c r="A20" s="62" t="str">
        <f>'Day-1'!A20</f>
        <v>22:00-23:00</v>
      </c>
      <c r="B20" s="108">
        <v>49</v>
      </c>
      <c r="C20" s="140">
        <v>19</v>
      </c>
      <c r="D20" s="108">
        <v>8</v>
      </c>
      <c r="E20" s="108">
        <v>18</v>
      </c>
      <c r="F20" s="108">
        <v>15</v>
      </c>
      <c r="G20" s="108">
        <v>18</v>
      </c>
      <c r="H20" s="108">
        <v>99</v>
      </c>
      <c r="I20" s="108">
        <v>0</v>
      </c>
      <c r="J20" s="108">
        <v>51</v>
      </c>
      <c r="K20" s="108">
        <v>6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66">
        <f t="shared" si="2"/>
        <v>125</v>
      </c>
      <c r="R20" s="59">
        <f t="shared" si="3"/>
        <v>158</v>
      </c>
      <c r="S20" s="59">
        <f t="shared" si="0"/>
        <v>283</v>
      </c>
      <c r="T20" s="59">
        <f t="shared" si="4"/>
        <v>0</v>
      </c>
      <c r="U20" s="59">
        <f t="shared" si="5"/>
        <v>283</v>
      </c>
      <c r="V20" s="60">
        <f t="shared" si="6"/>
        <v>717</v>
      </c>
      <c r="W20" s="47" t="str">
        <f t="shared" si="1"/>
        <v>22:00-23:00</v>
      </c>
      <c r="X20" s="45">
        <f>B20+B54</f>
        <v>128</v>
      </c>
      <c r="Y20" s="45">
        <f>C20+C54</f>
        <v>30</v>
      </c>
      <c r="Z20" s="45">
        <f>D20+D54</f>
        <v>25</v>
      </c>
      <c r="AA20" s="45">
        <f>E20+E54</f>
        <v>41</v>
      </c>
      <c r="AB20" s="45">
        <f>F20+F54</f>
        <v>21</v>
      </c>
      <c r="AC20" s="45">
        <f>G20+G54</f>
        <v>32</v>
      </c>
      <c r="AD20" s="45">
        <f>H20+H54</f>
        <v>158</v>
      </c>
      <c r="AE20" s="45">
        <f>I20+I54</f>
        <v>0</v>
      </c>
      <c r="AF20" s="45">
        <f>J20+J54</f>
        <v>79</v>
      </c>
      <c r="AG20" s="45">
        <f>K20+K54</f>
        <v>12</v>
      </c>
      <c r="AH20" s="45">
        <f>L20+L54</f>
        <v>0</v>
      </c>
      <c r="AI20" s="45">
        <f>M20+M54</f>
        <v>0</v>
      </c>
      <c r="AJ20" s="45">
        <f>N20+N54</f>
        <v>0</v>
      </c>
      <c r="AK20" s="45">
        <f>O20+O54</f>
        <v>0</v>
      </c>
      <c r="AL20" s="45">
        <f>P20+P54</f>
        <v>0</v>
      </c>
      <c r="AM20" s="45">
        <f>Q20+Q54</f>
        <v>249</v>
      </c>
      <c r="AN20" s="45">
        <f>R20+R54</f>
        <v>277</v>
      </c>
      <c r="AO20" s="45">
        <f>S20+S54</f>
        <v>526</v>
      </c>
      <c r="AP20" s="45">
        <f>T20+T54</f>
        <v>0</v>
      </c>
      <c r="AQ20" s="45">
        <f>U20+U54</f>
        <v>526</v>
      </c>
      <c r="AR20" s="45">
        <f>V20+V54</f>
        <v>1226</v>
      </c>
    </row>
    <row r="21" spans="1:44" x14ac:dyDescent="0.3">
      <c r="A21" s="62" t="str">
        <f>'Day-1'!A21</f>
        <v>23:00-00:00</v>
      </c>
      <c r="B21" s="108">
        <v>26</v>
      </c>
      <c r="C21" s="140">
        <v>9</v>
      </c>
      <c r="D21" s="108">
        <v>7</v>
      </c>
      <c r="E21" s="108">
        <v>16</v>
      </c>
      <c r="F21" s="108">
        <v>7</v>
      </c>
      <c r="G21" s="108">
        <v>11</v>
      </c>
      <c r="H21" s="108">
        <v>75</v>
      </c>
      <c r="I21" s="108">
        <v>0</v>
      </c>
      <c r="J21" s="108">
        <v>25</v>
      </c>
      <c r="K21" s="108">
        <v>2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66">
        <f t="shared" si="2"/>
        <v>62</v>
      </c>
      <c r="R21" s="59">
        <f t="shared" si="3"/>
        <v>116</v>
      </c>
      <c r="S21" s="59">
        <f t="shared" si="0"/>
        <v>178</v>
      </c>
      <c r="T21" s="59">
        <f t="shared" si="4"/>
        <v>0</v>
      </c>
      <c r="U21" s="59">
        <f t="shared" si="5"/>
        <v>178</v>
      </c>
      <c r="V21" s="60">
        <f t="shared" si="6"/>
        <v>490</v>
      </c>
      <c r="W21" s="47" t="str">
        <f t="shared" si="1"/>
        <v>23:00-00:00</v>
      </c>
      <c r="X21" s="45">
        <f>B21+B55</f>
        <v>73</v>
      </c>
      <c r="Y21" s="45">
        <f>C21+C55</f>
        <v>12</v>
      </c>
      <c r="Z21" s="45">
        <f>D21+D55</f>
        <v>22</v>
      </c>
      <c r="AA21" s="45">
        <f>E21+E55</f>
        <v>30</v>
      </c>
      <c r="AB21" s="45">
        <f>F21+F55</f>
        <v>22</v>
      </c>
      <c r="AC21" s="45">
        <f>G21+G55</f>
        <v>24</v>
      </c>
      <c r="AD21" s="45">
        <f>H21+H55</f>
        <v>169</v>
      </c>
      <c r="AE21" s="45">
        <f>I21+I55</f>
        <v>0</v>
      </c>
      <c r="AF21" s="45">
        <f>J21+J55</f>
        <v>63</v>
      </c>
      <c r="AG21" s="45">
        <f>K21+K55</f>
        <v>2</v>
      </c>
      <c r="AH21" s="45">
        <f>L21+L55</f>
        <v>0</v>
      </c>
      <c r="AI21" s="45">
        <f>M21+M55</f>
        <v>0</v>
      </c>
      <c r="AJ21" s="45">
        <f>N21+N55</f>
        <v>0</v>
      </c>
      <c r="AK21" s="45">
        <f>O21+O55</f>
        <v>0</v>
      </c>
      <c r="AL21" s="45">
        <f>P21+P55</f>
        <v>0</v>
      </c>
      <c r="AM21" s="45">
        <f>Q21+Q55</f>
        <v>150</v>
      </c>
      <c r="AN21" s="45">
        <f>R21+R55</f>
        <v>267</v>
      </c>
      <c r="AO21" s="45">
        <f>S21+S55</f>
        <v>417</v>
      </c>
      <c r="AP21" s="45">
        <f>T21+T55</f>
        <v>0</v>
      </c>
      <c r="AQ21" s="45">
        <f>U21+U55</f>
        <v>417</v>
      </c>
      <c r="AR21" s="45">
        <f>V21+V55</f>
        <v>1108</v>
      </c>
    </row>
    <row r="22" spans="1:44" x14ac:dyDescent="0.3">
      <c r="A22" s="62" t="str">
        <f>'Day-1'!A22</f>
        <v>00:00-01:00</v>
      </c>
      <c r="B22" s="108">
        <v>21</v>
      </c>
      <c r="C22" s="140">
        <v>4</v>
      </c>
      <c r="D22" s="108">
        <v>10</v>
      </c>
      <c r="E22" s="108">
        <v>6</v>
      </c>
      <c r="F22" s="108">
        <v>12</v>
      </c>
      <c r="G22" s="108">
        <v>17</v>
      </c>
      <c r="H22" s="108">
        <v>87</v>
      </c>
      <c r="I22" s="108">
        <v>0</v>
      </c>
      <c r="J22" s="108">
        <v>13</v>
      </c>
      <c r="K22" s="108">
        <v>2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66">
        <f t="shared" si="2"/>
        <v>40</v>
      </c>
      <c r="R22" s="59">
        <f t="shared" si="3"/>
        <v>132</v>
      </c>
      <c r="S22" s="59">
        <f t="shared" si="0"/>
        <v>172</v>
      </c>
      <c r="T22" s="59">
        <f t="shared" si="4"/>
        <v>0</v>
      </c>
      <c r="U22" s="59">
        <f t="shared" si="5"/>
        <v>172</v>
      </c>
      <c r="V22" s="60">
        <f t="shared" si="6"/>
        <v>539</v>
      </c>
      <c r="W22" s="47" t="str">
        <f t="shared" si="1"/>
        <v>00:00-01:00</v>
      </c>
      <c r="X22" s="45">
        <f>B22+B56</f>
        <v>49</v>
      </c>
      <c r="Y22" s="45">
        <f>C22+C56</f>
        <v>9</v>
      </c>
      <c r="Z22" s="45">
        <f>D22+D56</f>
        <v>27</v>
      </c>
      <c r="AA22" s="45">
        <f>E22+E56</f>
        <v>21</v>
      </c>
      <c r="AB22" s="45">
        <f>F22+F56</f>
        <v>22</v>
      </c>
      <c r="AC22" s="45">
        <f>G22+G56</f>
        <v>42</v>
      </c>
      <c r="AD22" s="45">
        <f>H22+H56</f>
        <v>146</v>
      </c>
      <c r="AE22" s="45">
        <f>I22+I56</f>
        <v>0</v>
      </c>
      <c r="AF22" s="45">
        <f>J22+J56</f>
        <v>29</v>
      </c>
      <c r="AG22" s="45">
        <f>K22+K56</f>
        <v>2</v>
      </c>
      <c r="AH22" s="45">
        <f>L22+L56</f>
        <v>0</v>
      </c>
      <c r="AI22" s="45">
        <f>M22+M56</f>
        <v>2</v>
      </c>
      <c r="AJ22" s="45">
        <f>N22+N56</f>
        <v>2</v>
      </c>
      <c r="AK22" s="45">
        <f>O22+O56</f>
        <v>0</v>
      </c>
      <c r="AL22" s="45">
        <f>P22+P56</f>
        <v>0</v>
      </c>
      <c r="AM22" s="45">
        <f>Q22+Q56</f>
        <v>91</v>
      </c>
      <c r="AN22" s="45">
        <f>R22+R56</f>
        <v>260</v>
      </c>
      <c r="AO22" s="45">
        <f>S22+S56</f>
        <v>351</v>
      </c>
      <c r="AP22" s="45">
        <f>T22+T56</f>
        <v>2</v>
      </c>
      <c r="AQ22" s="45">
        <f>U22+U56</f>
        <v>351</v>
      </c>
      <c r="AR22" s="45">
        <f>V22+V56</f>
        <v>1010</v>
      </c>
    </row>
    <row r="23" spans="1:44" x14ac:dyDescent="0.3">
      <c r="A23" s="62" t="str">
        <f>'Day-1'!A23</f>
        <v>01:00-02:00</v>
      </c>
      <c r="B23" s="108">
        <v>11</v>
      </c>
      <c r="C23" s="140">
        <v>0</v>
      </c>
      <c r="D23" s="108">
        <v>5</v>
      </c>
      <c r="E23" s="108">
        <v>21</v>
      </c>
      <c r="F23" s="108">
        <v>13</v>
      </c>
      <c r="G23" s="108">
        <v>14</v>
      </c>
      <c r="H23" s="108">
        <v>71</v>
      </c>
      <c r="I23" s="108">
        <v>0</v>
      </c>
      <c r="J23" s="108">
        <v>9</v>
      </c>
      <c r="K23" s="108">
        <v>5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2"/>
        <v>25</v>
      </c>
      <c r="R23" s="59">
        <f t="shared" si="3"/>
        <v>124</v>
      </c>
      <c r="S23" s="59">
        <f t="shared" si="0"/>
        <v>149</v>
      </c>
      <c r="T23" s="59">
        <f t="shared" si="4"/>
        <v>0</v>
      </c>
      <c r="U23" s="59">
        <f t="shared" si="5"/>
        <v>149</v>
      </c>
      <c r="V23" s="60">
        <f t="shared" si="6"/>
        <v>457.5</v>
      </c>
      <c r="W23" s="47" t="str">
        <f t="shared" si="1"/>
        <v>01:00-02:00</v>
      </c>
      <c r="X23" s="45">
        <f>B23+B57</f>
        <v>26</v>
      </c>
      <c r="Y23" s="45">
        <f>C23+C57</f>
        <v>3</v>
      </c>
      <c r="Z23" s="45">
        <f>D23+D57</f>
        <v>12</v>
      </c>
      <c r="AA23" s="45">
        <f>E23+E57</f>
        <v>36</v>
      </c>
      <c r="AB23" s="45">
        <f>F23+F57</f>
        <v>29</v>
      </c>
      <c r="AC23" s="45">
        <f>G23+G57</f>
        <v>40</v>
      </c>
      <c r="AD23" s="45">
        <f>H23+H57</f>
        <v>135</v>
      </c>
      <c r="AE23" s="45">
        <f>I23+I57</f>
        <v>0</v>
      </c>
      <c r="AF23" s="45">
        <f>J23+J57</f>
        <v>13</v>
      </c>
      <c r="AG23" s="45">
        <f>K23+K57</f>
        <v>9</v>
      </c>
      <c r="AH23" s="45">
        <f>L23+L57</f>
        <v>0</v>
      </c>
      <c r="AI23" s="45">
        <f>M23+M57</f>
        <v>0</v>
      </c>
      <c r="AJ23" s="45">
        <f>N23+N57</f>
        <v>0</v>
      </c>
      <c r="AK23" s="45">
        <f>O23+O57</f>
        <v>0</v>
      </c>
      <c r="AL23" s="45">
        <f>P23+P57</f>
        <v>0</v>
      </c>
      <c r="AM23" s="45">
        <f>Q23+Q57</f>
        <v>51</v>
      </c>
      <c r="AN23" s="45">
        <f>R23+R57</f>
        <v>252</v>
      </c>
      <c r="AO23" s="45">
        <f>S23+S57</f>
        <v>303</v>
      </c>
      <c r="AP23" s="45">
        <f>T23+T57</f>
        <v>0</v>
      </c>
      <c r="AQ23" s="45">
        <f>U23+U57</f>
        <v>303</v>
      </c>
      <c r="AR23" s="45">
        <f>V23+V57</f>
        <v>931</v>
      </c>
    </row>
    <row r="24" spans="1:44" x14ac:dyDescent="0.3">
      <c r="A24" s="62" t="str">
        <f>'Day-1'!A24</f>
        <v>02:00-03:00</v>
      </c>
      <c r="B24" s="108">
        <v>15</v>
      </c>
      <c r="C24" s="140">
        <v>0</v>
      </c>
      <c r="D24" s="108">
        <v>8</v>
      </c>
      <c r="E24" s="108">
        <v>15</v>
      </c>
      <c r="F24" s="108">
        <v>11</v>
      </c>
      <c r="G24" s="108">
        <v>12</v>
      </c>
      <c r="H24" s="108">
        <v>71</v>
      </c>
      <c r="I24" s="108">
        <v>0</v>
      </c>
      <c r="J24" s="108">
        <v>6</v>
      </c>
      <c r="K24" s="108">
        <v>2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2"/>
        <v>23</v>
      </c>
      <c r="R24" s="59">
        <f t="shared" si="3"/>
        <v>117</v>
      </c>
      <c r="S24" s="59">
        <f t="shared" si="0"/>
        <v>140</v>
      </c>
      <c r="T24" s="59">
        <f t="shared" si="4"/>
        <v>0</v>
      </c>
      <c r="U24" s="59">
        <f t="shared" si="5"/>
        <v>140</v>
      </c>
      <c r="V24" s="60">
        <f t="shared" si="6"/>
        <v>439</v>
      </c>
      <c r="W24" s="47" t="str">
        <f t="shared" si="1"/>
        <v>02:00-03:00</v>
      </c>
      <c r="X24" s="45">
        <f>B24+B58</f>
        <v>19</v>
      </c>
      <c r="Y24" s="45">
        <f>C24+C58</f>
        <v>5</v>
      </c>
      <c r="Z24" s="45">
        <f>D24+D58</f>
        <v>13</v>
      </c>
      <c r="AA24" s="45">
        <f>E24+E58</f>
        <v>25</v>
      </c>
      <c r="AB24" s="45">
        <f>F24+F58</f>
        <v>25</v>
      </c>
      <c r="AC24" s="45">
        <f>G24+G58</f>
        <v>27</v>
      </c>
      <c r="AD24" s="45">
        <f>H24+H58</f>
        <v>126</v>
      </c>
      <c r="AE24" s="45">
        <f>I24+I58</f>
        <v>0</v>
      </c>
      <c r="AF24" s="45">
        <f>J24+J58</f>
        <v>11</v>
      </c>
      <c r="AG24" s="45">
        <f>K24+K58</f>
        <v>2</v>
      </c>
      <c r="AH24" s="45">
        <f>L24+L58</f>
        <v>0</v>
      </c>
      <c r="AI24" s="45">
        <f>M24+M58</f>
        <v>0</v>
      </c>
      <c r="AJ24" s="45">
        <f>N24+N58</f>
        <v>0</v>
      </c>
      <c r="AK24" s="45">
        <f>O24+O58</f>
        <v>0</v>
      </c>
      <c r="AL24" s="45">
        <f>P24+P58</f>
        <v>0</v>
      </c>
      <c r="AM24" s="45">
        <f>Q24+Q58</f>
        <v>37</v>
      </c>
      <c r="AN24" s="45">
        <f>R24+R58</f>
        <v>216</v>
      </c>
      <c r="AO24" s="45">
        <f>S24+S58</f>
        <v>253</v>
      </c>
      <c r="AP24" s="45">
        <f>T24+T58</f>
        <v>0</v>
      </c>
      <c r="AQ24" s="45">
        <f>U24+U58</f>
        <v>253</v>
      </c>
      <c r="AR24" s="45">
        <f>V24+V58</f>
        <v>815</v>
      </c>
    </row>
    <row r="25" spans="1:44" x14ac:dyDescent="0.3">
      <c r="A25" s="62" t="str">
        <f>'Day-1'!A25</f>
        <v>03:00-04:00</v>
      </c>
      <c r="B25" s="108">
        <v>9</v>
      </c>
      <c r="C25" s="140">
        <v>3</v>
      </c>
      <c r="D25" s="108">
        <v>8</v>
      </c>
      <c r="E25" s="108">
        <v>25</v>
      </c>
      <c r="F25" s="108">
        <v>15</v>
      </c>
      <c r="G25" s="108">
        <v>19</v>
      </c>
      <c r="H25" s="108">
        <v>68</v>
      </c>
      <c r="I25" s="108">
        <v>0</v>
      </c>
      <c r="J25" s="108">
        <v>16</v>
      </c>
      <c r="K25" s="108">
        <v>3</v>
      </c>
      <c r="L25" s="108">
        <v>0</v>
      </c>
      <c r="M25" s="108">
        <v>2</v>
      </c>
      <c r="N25" s="108">
        <v>0</v>
      </c>
      <c r="O25" s="108">
        <v>0</v>
      </c>
      <c r="P25" s="108">
        <v>0</v>
      </c>
      <c r="Q25" s="66">
        <f t="shared" si="2"/>
        <v>31</v>
      </c>
      <c r="R25" s="59">
        <f t="shared" si="3"/>
        <v>137</v>
      </c>
      <c r="S25" s="59">
        <f t="shared" si="0"/>
        <v>168</v>
      </c>
      <c r="T25" s="59">
        <f t="shared" si="4"/>
        <v>0</v>
      </c>
      <c r="U25" s="59">
        <f t="shared" si="5"/>
        <v>168</v>
      </c>
      <c r="V25" s="60">
        <f t="shared" si="6"/>
        <v>491.5</v>
      </c>
      <c r="W25" s="47" t="str">
        <f t="shared" si="1"/>
        <v>03:00-04:00</v>
      </c>
      <c r="X25" s="45">
        <f>B25+B59</f>
        <v>19</v>
      </c>
      <c r="Y25" s="45">
        <f>C25+C59</f>
        <v>10</v>
      </c>
      <c r="Z25" s="45">
        <f>D25+D59</f>
        <v>24</v>
      </c>
      <c r="AA25" s="45">
        <f>E25+E59</f>
        <v>48</v>
      </c>
      <c r="AB25" s="45">
        <f>F25+F59</f>
        <v>26</v>
      </c>
      <c r="AC25" s="45">
        <f>G25+G59</f>
        <v>38</v>
      </c>
      <c r="AD25" s="45">
        <f>H25+H59</f>
        <v>105</v>
      </c>
      <c r="AE25" s="45">
        <f>I25+I59</f>
        <v>0</v>
      </c>
      <c r="AF25" s="45">
        <f>J25+J59</f>
        <v>25</v>
      </c>
      <c r="AG25" s="45">
        <f>K25+K59</f>
        <v>5</v>
      </c>
      <c r="AH25" s="45">
        <f>L25+L59</f>
        <v>0</v>
      </c>
      <c r="AI25" s="45">
        <f>M25+M59</f>
        <v>4</v>
      </c>
      <c r="AJ25" s="45">
        <f>N25+N59</f>
        <v>0</v>
      </c>
      <c r="AK25" s="45">
        <f>O25+O59</f>
        <v>0</v>
      </c>
      <c r="AL25" s="45">
        <f>P25+P59</f>
        <v>0</v>
      </c>
      <c r="AM25" s="45">
        <f>Q25+Q59</f>
        <v>59</v>
      </c>
      <c r="AN25" s="45">
        <f>R25+R59</f>
        <v>245</v>
      </c>
      <c r="AO25" s="45">
        <f>S25+S59</f>
        <v>304</v>
      </c>
      <c r="AP25" s="45">
        <f>T25+T59</f>
        <v>0</v>
      </c>
      <c r="AQ25" s="45">
        <f>U25+U59</f>
        <v>304</v>
      </c>
      <c r="AR25" s="45">
        <f>V25+V59</f>
        <v>845</v>
      </c>
    </row>
    <row r="26" spans="1:44" x14ac:dyDescent="0.3">
      <c r="A26" s="62" t="str">
        <f>'Day-1'!A26</f>
        <v>04:00-05:00</v>
      </c>
      <c r="B26" s="108">
        <v>14</v>
      </c>
      <c r="C26" s="140">
        <v>5</v>
      </c>
      <c r="D26" s="108">
        <v>9</v>
      </c>
      <c r="E26" s="108">
        <v>24</v>
      </c>
      <c r="F26" s="108">
        <v>9</v>
      </c>
      <c r="G26" s="108">
        <v>18</v>
      </c>
      <c r="H26" s="108">
        <v>60</v>
      </c>
      <c r="I26" s="108">
        <v>0</v>
      </c>
      <c r="J26" s="108">
        <v>31</v>
      </c>
      <c r="K26" s="108">
        <v>9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6">
        <f t="shared" si="2"/>
        <v>59</v>
      </c>
      <c r="R26" s="59">
        <f t="shared" si="3"/>
        <v>120</v>
      </c>
      <c r="S26" s="59">
        <f t="shared" si="0"/>
        <v>179</v>
      </c>
      <c r="T26" s="59">
        <f t="shared" si="4"/>
        <v>0</v>
      </c>
      <c r="U26" s="59">
        <f t="shared" si="5"/>
        <v>179</v>
      </c>
      <c r="V26" s="60">
        <f t="shared" si="6"/>
        <v>449.5</v>
      </c>
      <c r="W26" s="47" t="str">
        <f t="shared" si="1"/>
        <v>04:00-05:00</v>
      </c>
      <c r="X26" s="45">
        <f>B26+B60</f>
        <v>23</v>
      </c>
      <c r="Y26" s="45">
        <f>C26+C60</f>
        <v>13</v>
      </c>
      <c r="Z26" s="45">
        <f>D26+D60</f>
        <v>18</v>
      </c>
      <c r="AA26" s="45">
        <f>E26+E60</f>
        <v>40</v>
      </c>
      <c r="AB26" s="45">
        <f>F26+F60</f>
        <v>22</v>
      </c>
      <c r="AC26" s="45">
        <f>G26+G60</f>
        <v>34</v>
      </c>
      <c r="AD26" s="45">
        <f>H26+H60</f>
        <v>127</v>
      </c>
      <c r="AE26" s="45">
        <f>I26+I60</f>
        <v>0</v>
      </c>
      <c r="AF26" s="45">
        <f>J26+J60</f>
        <v>49</v>
      </c>
      <c r="AG26" s="45">
        <f>K26+K60</f>
        <v>14</v>
      </c>
      <c r="AH26" s="45">
        <f>L26+L60</f>
        <v>0</v>
      </c>
      <c r="AI26" s="45">
        <f>M26+M60</f>
        <v>2</v>
      </c>
      <c r="AJ26" s="45">
        <f>N26+N60</f>
        <v>0</v>
      </c>
      <c r="AK26" s="45">
        <f>O26+O60</f>
        <v>0</v>
      </c>
      <c r="AL26" s="45">
        <f>P26+P60</f>
        <v>0</v>
      </c>
      <c r="AM26" s="45">
        <f>Q26+Q60</f>
        <v>99</v>
      </c>
      <c r="AN26" s="45">
        <f>R26+R60</f>
        <v>243</v>
      </c>
      <c r="AO26" s="45">
        <f>S26+S60</f>
        <v>342</v>
      </c>
      <c r="AP26" s="45">
        <f>T26+T60</f>
        <v>0</v>
      </c>
      <c r="AQ26" s="45">
        <f>U26+U60</f>
        <v>342</v>
      </c>
      <c r="AR26" s="45">
        <f>V26+V60</f>
        <v>927</v>
      </c>
    </row>
    <row r="27" spans="1:44" x14ac:dyDescent="0.3">
      <c r="A27" s="62" t="str">
        <f>'Day-1'!A27</f>
        <v>05:00-06:00</v>
      </c>
      <c r="B27" s="108">
        <v>25</v>
      </c>
      <c r="C27" s="140">
        <v>2</v>
      </c>
      <c r="D27" s="108">
        <v>21</v>
      </c>
      <c r="E27" s="108">
        <v>16</v>
      </c>
      <c r="F27" s="108">
        <v>7</v>
      </c>
      <c r="G27" s="108">
        <v>14</v>
      </c>
      <c r="H27" s="108">
        <v>52</v>
      </c>
      <c r="I27" s="108">
        <v>0</v>
      </c>
      <c r="J27" s="108">
        <v>92</v>
      </c>
      <c r="K27" s="108">
        <v>17</v>
      </c>
      <c r="L27" s="108">
        <v>0</v>
      </c>
      <c r="M27" s="108">
        <v>5</v>
      </c>
      <c r="N27" s="108">
        <v>0</v>
      </c>
      <c r="O27" s="108">
        <v>0</v>
      </c>
      <c r="P27" s="108">
        <v>0</v>
      </c>
      <c r="Q27" s="66">
        <f t="shared" si="2"/>
        <v>136</v>
      </c>
      <c r="R27" s="59">
        <f t="shared" si="3"/>
        <v>115</v>
      </c>
      <c r="S27" s="59">
        <f t="shared" si="0"/>
        <v>251</v>
      </c>
      <c r="T27" s="59">
        <f t="shared" si="4"/>
        <v>0</v>
      </c>
      <c r="U27" s="59">
        <f t="shared" si="5"/>
        <v>251</v>
      </c>
      <c r="V27" s="60">
        <f t="shared" si="6"/>
        <v>458.5</v>
      </c>
      <c r="W27" s="47" t="str">
        <f t="shared" si="1"/>
        <v>05:00-06:00</v>
      </c>
      <c r="X27" s="45">
        <f>B27+B61</f>
        <v>51</v>
      </c>
      <c r="Y27" s="45">
        <f>C27+C61</f>
        <v>24</v>
      </c>
      <c r="Z27" s="45">
        <f>D27+D61</f>
        <v>30</v>
      </c>
      <c r="AA27" s="45">
        <f>E27+E61</f>
        <v>40</v>
      </c>
      <c r="AB27" s="45">
        <f>F27+F61</f>
        <v>23</v>
      </c>
      <c r="AC27" s="45">
        <f>G27+G61</f>
        <v>31</v>
      </c>
      <c r="AD27" s="45">
        <f>H27+H61</f>
        <v>114</v>
      </c>
      <c r="AE27" s="45">
        <f>I27+I61</f>
        <v>0</v>
      </c>
      <c r="AF27" s="45">
        <f>J27+J61</f>
        <v>195</v>
      </c>
      <c r="AG27" s="45">
        <f>K27+K61</f>
        <v>31</v>
      </c>
      <c r="AH27" s="45">
        <f>L27+L61</f>
        <v>0</v>
      </c>
      <c r="AI27" s="45">
        <f>M27+M61</f>
        <v>7</v>
      </c>
      <c r="AJ27" s="45">
        <f>N27+N61</f>
        <v>2</v>
      </c>
      <c r="AK27" s="45">
        <f>O27+O61</f>
        <v>0</v>
      </c>
      <c r="AL27" s="45">
        <f>P27+P61</f>
        <v>0</v>
      </c>
      <c r="AM27" s="45">
        <f>Q27+Q61</f>
        <v>303</v>
      </c>
      <c r="AN27" s="45">
        <f>R27+R61</f>
        <v>245</v>
      </c>
      <c r="AO27" s="45">
        <f>S27+S61</f>
        <v>548</v>
      </c>
      <c r="AP27" s="45">
        <f>T27+T61</f>
        <v>2</v>
      </c>
      <c r="AQ27" s="45">
        <f>U27+U61</f>
        <v>548</v>
      </c>
      <c r="AR27" s="45">
        <f>V27+V61</f>
        <v>1049</v>
      </c>
    </row>
    <row r="28" spans="1:44" x14ac:dyDescent="0.3">
      <c r="A28" s="62" t="str">
        <f>'Day-1'!A28</f>
        <v>06:00-07:00</v>
      </c>
      <c r="B28" s="108">
        <v>75</v>
      </c>
      <c r="C28" s="140">
        <v>15</v>
      </c>
      <c r="D28" s="108">
        <v>26</v>
      </c>
      <c r="E28" s="108">
        <v>17</v>
      </c>
      <c r="F28" s="108">
        <v>15</v>
      </c>
      <c r="G28" s="108">
        <v>16</v>
      </c>
      <c r="H28" s="108">
        <v>48</v>
      </c>
      <c r="I28" s="108">
        <v>0</v>
      </c>
      <c r="J28" s="108">
        <v>204</v>
      </c>
      <c r="K28" s="108">
        <v>22</v>
      </c>
      <c r="L28" s="108">
        <v>3</v>
      </c>
      <c r="M28" s="108">
        <v>0</v>
      </c>
      <c r="N28" s="108">
        <v>0</v>
      </c>
      <c r="O28" s="108">
        <v>0</v>
      </c>
      <c r="P28" s="108">
        <v>0</v>
      </c>
      <c r="Q28" s="66">
        <f t="shared" si="2"/>
        <v>316</v>
      </c>
      <c r="R28" s="59">
        <f t="shared" si="3"/>
        <v>125</v>
      </c>
      <c r="S28" s="59">
        <f t="shared" si="0"/>
        <v>441</v>
      </c>
      <c r="T28" s="59">
        <f t="shared" si="4"/>
        <v>0</v>
      </c>
      <c r="U28" s="59">
        <f t="shared" si="5"/>
        <v>441</v>
      </c>
      <c r="V28" s="60">
        <f t="shared" si="6"/>
        <v>609</v>
      </c>
      <c r="W28" s="47" t="str">
        <f t="shared" si="1"/>
        <v>06:00-07:00</v>
      </c>
      <c r="X28" s="45">
        <f>B28+B62</f>
        <v>130</v>
      </c>
      <c r="Y28" s="45">
        <f>C28+C62</f>
        <v>43</v>
      </c>
      <c r="Z28" s="45">
        <f>D28+D62</f>
        <v>37</v>
      </c>
      <c r="AA28" s="45">
        <f>E28+E62</f>
        <v>34</v>
      </c>
      <c r="AB28" s="45">
        <f>F28+F62</f>
        <v>33</v>
      </c>
      <c r="AC28" s="45">
        <f>G28+G62</f>
        <v>71</v>
      </c>
      <c r="AD28" s="45">
        <f>H28+H62</f>
        <v>130</v>
      </c>
      <c r="AE28" s="45">
        <f>I28+I62</f>
        <v>0</v>
      </c>
      <c r="AF28" s="45">
        <f>J28+J62</f>
        <v>291</v>
      </c>
      <c r="AG28" s="45">
        <f>K28+K62</f>
        <v>31</v>
      </c>
      <c r="AH28" s="45">
        <f>L28+L62</f>
        <v>3</v>
      </c>
      <c r="AI28" s="45">
        <f>M28+M62</f>
        <v>2</v>
      </c>
      <c r="AJ28" s="45">
        <f>N28+N62</f>
        <v>0</v>
      </c>
      <c r="AK28" s="45">
        <f>O28+O62</f>
        <v>0</v>
      </c>
      <c r="AL28" s="45">
        <f>P28+P62</f>
        <v>0</v>
      </c>
      <c r="AM28" s="45">
        <f>Q28+Q62</f>
        <v>495</v>
      </c>
      <c r="AN28" s="45">
        <f>R28+R62</f>
        <v>310</v>
      </c>
      <c r="AO28" s="45">
        <f>S28+S62</f>
        <v>805</v>
      </c>
      <c r="AP28" s="45">
        <f>T28+T62</f>
        <v>0</v>
      </c>
      <c r="AQ28" s="45">
        <f>U28+U62</f>
        <v>805</v>
      </c>
      <c r="AR28" s="45">
        <f>V28+V62</f>
        <v>1434</v>
      </c>
    </row>
    <row r="29" spans="1:44" x14ac:dyDescent="0.3">
      <c r="A29" s="62" t="str">
        <f>'Day-1'!A29</f>
        <v>07:00-08:00</v>
      </c>
      <c r="B29" s="108">
        <v>95</v>
      </c>
      <c r="C29" s="140">
        <v>26</v>
      </c>
      <c r="D29" s="108">
        <v>18</v>
      </c>
      <c r="E29" s="108">
        <v>18</v>
      </c>
      <c r="F29" s="108">
        <v>11</v>
      </c>
      <c r="G29" s="108">
        <v>6</v>
      </c>
      <c r="H29" s="108">
        <v>53</v>
      </c>
      <c r="I29" s="108">
        <v>0</v>
      </c>
      <c r="J29" s="108">
        <v>249</v>
      </c>
      <c r="K29" s="108">
        <v>40</v>
      </c>
      <c r="L29" s="108">
        <v>0</v>
      </c>
      <c r="M29" s="108">
        <v>2</v>
      </c>
      <c r="N29" s="108">
        <v>0</v>
      </c>
      <c r="O29" s="108">
        <v>0</v>
      </c>
      <c r="P29" s="108">
        <v>0</v>
      </c>
      <c r="Q29" s="66">
        <f t="shared" si="2"/>
        <v>410</v>
      </c>
      <c r="R29" s="59">
        <f t="shared" si="3"/>
        <v>108</v>
      </c>
      <c r="S29" s="59">
        <f t="shared" si="0"/>
        <v>518</v>
      </c>
      <c r="T29" s="59">
        <f t="shared" si="4"/>
        <v>0</v>
      </c>
      <c r="U29" s="59">
        <f t="shared" si="5"/>
        <v>518</v>
      </c>
      <c r="V29" s="60">
        <f t="shared" si="6"/>
        <v>681</v>
      </c>
      <c r="W29" s="47" t="str">
        <f t="shared" si="1"/>
        <v>07:00-08:00</v>
      </c>
      <c r="X29" s="45">
        <f>B29+B63</f>
        <v>194</v>
      </c>
      <c r="Y29" s="45">
        <f>C29+C63</f>
        <v>56</v>
      </c>
      <c r="Z29" s="45">
        <f>D29+D63</f>
        <v>32</v>
      </c>
      <c r="AA29" s="45">
        <f>E29+E63</f>
        <v>40</v>
      </c>
      <c r="AB29" s="45">
        <f>F29+F63</f>
        <v>25</v>
      </c>
      <c r="AC29" s="45">
        <f>G29+G63</f>
        <v>46</v>
      </c>
      <c r="AD29" s="45">
        <f>H29+H63</f>
        <v>144</v>
      </c>
      <c r="AE29" s="45">
        <f>I29+I63</f>
        <v>0</v>
      </c>
      <c r="AF29" s="45">
        <f>J29+J63</f>
        <v>391</v>
      </c>
      <c r="AG29" s="45">
        <f>K29+K63</f>
        <v>61</v>
      </c>
      <c r="AH29" s="45">
        <f>L29+L63</f>
        <v>0</v>
      </c>
      <c r="AI29" s="45">
        <f>M29+M63</f>
        <v>6</v>
      </c>
      <c r="AJ29" s="45">
        <f>N29+N63</f>
        <v>0</v>
      </c>
      <c r="AK29" s="45">
        <f>O29+O63</f>
        <v>0</v>
      </c>
      <c r="AL29" s="45">
        <f>P29+P63</f>
        <v>0</v>
      </c>
      <c r="AM29" s="45">
        <f>Q29+Q63</f>
        <v>702</v>
      </c>
      <c r="AN29" s="45">
        <f>R29+R63</f>
        <v>293</v>
      </c>
      <c r="AO29" s="45">
        <f>S29+S63</f>
        <v>995</v>
      </c>
      <c r="AP29" s="45">
        <f>T29+T63</f>
        <v>0</v>
      </c>
      <c r="AQ29" s="45">
        <f>U29+U63</f>
        <v>995</v>
      </c>
      <c r="AR29" s="45">
        <f>V29+V63</f>
        <v>1598.5</v>
      </c>
    </row>
    <row r="30" spans="1:44" x14ac:dyDescent="0.3">
      <c r="A30" s="62" t="str">
        <f>'Day-1'!A30</f>
        <v>08:00-09:00</v>
      </c>
      <c r="B30" s="108">
        <v>118</v>
      </c>
      <c r="C30" s="140">
        <v>30</v>
      </c>
      <c r="D30" s="108">
        <v>23</v>
      </c>
      <c r="E30" s="108">
        <v>25</v>
      </c>
      <c r="F30" s="108">
        <v>18</v>
      </c>
      <c r="G30" s="108">
        <v>26</v>
      </c>
      <c r="H30" s="108">
        <v>50</v>
      </c>
      <c r="I30" s="108">
        <v>0</v>
      </c>
      <c r="J30" s="108">
        <v>279</v>
      </c>
      <c r="K30" s="108">
        <v>61</v>
      </c>
      <c r="L30" s="108">
        <v>0</v>
      </c>
      <c r="M30" s="108">
        <v>6</v>
      </c>
      <c r="N30" s="108">
        <v>0</v>
      </c>
      <c r="O30" s="108">
        <v>0</v>
      </c>
      <c r="P30" s="108">
        <v>0</v>
      </c>
      <c r="Q30" s="66">
        <f t="shared" si="2"/>
        <v>488</v>
      </c>
      <c r="R30" s="59">
        <f t="shared" si="3"/>
        <v>148</v>
      </c>
      <c r="S30" s="59">
        <f t="shared" si="0"/>
        <v>636</v>
      </c>
      <c r="T30" s="59">
        <f t="shared" si="4"/>
        <v>0</v>
      </c>
      <c r="U30" s="59">
        <f t="shared" si="5"/>
        <v>636</v>
      </c>
      <c r="V30" s="60">
        <f t="shared" si="6"/>
        <v>853</v>
      </c>
      <c r="W30" s="47" t="str">
        <f t="shared" si="1"/>
        <v>08:00-09:00</v>
      </c>
      <c r="X30" s="45">
        <f>B30+B64</f>
        <v>266</v>
      </c>
      <c r="Y30" s="45">
        <f>C30+C64</f>
        <v>85</v>
      </c>
      <c r="Z30" s="45">
        <f>D30+D64</f>
        <v>39</v>
      </c>
      <c r="AA30" s="45">
        <f>E30+E64</f>
        <v>46</v>
      </c>
      <c r="AB30" s="45">
        <f>F30+F64</f>
        <v>32</v>
      </c>
      <c r="AC30" s="45">
        <f>G30+G64</f>
        <v>77</v>
      </c>
      <c r="AD30" s="45">
        <f>H30+H64</f>
        <v>112</v>
      </c>
      <c r="AE30" s="45">
        <f>I30+I64</f>
        <v>0</v>
      </c>
      <c r="AF30" s="45">
        <f>J30+J64</f>
        <v>490</v>
      </c>
      <c r="AG30" s="45">
        <f>K30+K64</f>
        <v>102</v>
      </c>
      <c r="AH30" s="45">
        <f>L30+L64</f>
        <v>0</v>
      </c>
      <c r="AI30" s="45">
        <f>M30+M64</f>
        <v>9</v>
      </c>
      <c r="AJ30" s="45">
        <f>N30+N64</f>
        <v>2</v>
      </c>
      <c r="AK30" s="45">
        <f>O30+O64</f>
        <v>0</v>
      </c>
      <c r="AL30" s="45">
        <f>P30+P64</f>
        <v>0</v>
      </c>
      <c r="AM30" s="45">
        <f>Q30+Q64</f>
        <v>945</v>
      </c>
      <c r="AN30" s="45">
        <f>R30+R64</f>
        <v>315</v>
      </c>
      <c r="AO30" s="45">
        <f>S30+S64</f>
        <v>1260</v>
      </c>
      <c r="AP30" s="45">
        <f>T30+T64</f>
        <v>2</v>
      </c>
      <c r="AQ30" s="45">
        <f>U30+U64</f>
        <v>1260</v>
      </c>
      <c r="AR30" s="45">
        <f>V30+V64</f>
        <v>1848.5</v>
      </c>
    </row>
    <row r="31" spans="1:44" x14ac:dyDescent="0.3">
      <c r="A31" s="62" t="str">
        <f>'Day-1'!A31</f>
        <v>09:00-10:00</v>
      </c>
      <c r="B31" s="108">
        <v>153</v>
      </c>
      <c r="C31" s="140">
        <v>24</v>
      </c>
      <c r="D31" s="108">
        <v>24</v>
      </c>
      <c r="E31" s="108">
        <v>22</v>
      </c>
      <c r="F31" s="108">
        <v>10</v>
      </c>
      <c r="G31" s="108">
        <v>21</v>
      </c>
      <c r="H31" s="108">
        <v>53</v>
      </c>
      <c r="I31" s="108">
        <v>0</v>
      </c>
      <c r="J31" s="108">
        <v>270</v>
      </c>
      <c r="K31" s="108">
        <v>64</v>
      </c>
      <c r="L31" s="108">
        <v>2</v>
      </c>
      <c r="M31" s="108">
        <v>5</v>
      </c>
      <c r="N31" s="108">
        <v>0</v>
      </c>
      <c r="O31" s="108">
        <v>0</v>
      </c>
      <c r="P31" s="108">
        <v>0</v>
      </c>
      <c r="Q31" s="66">
        <f t="shared" si="2"/>
        <v>511</v>
      </c>
      <c r="R31" s="59">
        <f t="shared" si="3"/>
        <v>137</v>
      </c>
      <c r="S31" s="59">
        <f t="shared" si="0"/>
        <v>648</v>
      </c>
      <c r="T31" s="59">
        <f t="shared" si="4"/>
        <v>0</v>
      </c>
      <c r="U31" s="59">
        <f t="shared" si="5"/>
        <v>648</v>
      </c>
      <c r="V31" s="60">
        <f t="shared" si="6"/>
        <v>838</v>
      </c>
      <c r="W31" s="47" t="str">
        <f t="shared" si="1"/>
        <v>09:00-10:00</v>
      </c>
      <c r="X31" s="45">
        <f>B31+B65</f>
        <v>354</v>
      </c>
      <c r="Y31" s="45">
        <f>C31+C65</f>
        <v>49</v>
      </c>
      <c r="Z31" s="45">
        <f>D31+D65</f>
        <v>47</v>
      </c>
      <c r="AA31" s="45">
        <f>E31+E65</f>
        <v>43</v>
      </c>
      <c r="AB31" s="45">
        <f>F31+F65</f>
        <v>21</v>
      </c>
      <c r="AC31" s="45">
        <f>G31+G65</f>
        <v>58</v>
      </c>
      <c r="AD31" s="45">
        <f>H31+H65</f>
        <v>117</v>
      </c>
      <c r="AE31" s="45">
        <f>I31+I65</f>
        <v>0</v>
      </c>
      <c r="AF31" s="45">
        <f>J31+J65</f>
        <v>450</v>
      </c>
      <c r="AG31" s="45">
        <f>K31+K65</f>
        <v>94</v>
      </c>
      <c r="AH31" s="45">
        <f>L31+L65</f>
        <v>2</v>
      </c>
      <c r="AI31" s="45">
        <f>M31+M65</f>
        <v>5</v>
      </c>
      <c r="AJ31" s="45">
        <f>N31+N65</f>
        <v>2</v>
      </c>
      <c r="AK31" s="45">
        <f>O31+O65</f>
        <v>0</v>
      </c>
      <c r="AL31" s="45">
        <f>P31+P65</f>
        <v>2</v>
      </c>
      <c r="AM31" s="45">
        <f>Q31+Q65</f>
        <v>949</v>
      </c>
      <c r="AN31" s="45">
        <f>R31+R65</f>
        <v>295</v>
      </c>
      <c r="AO31" s="45">
        <f>S31+S65</f>
        <v>1244</v>
      </c>
      <c r="AP31" s="45">
        <f>T31+T65</f>
        <v>2</v>
      </c>
      <c r="AQ31" s="45">
        <f>U31+U65</f>
        <v>1244</v>
      </c>
      <c r="AR31" s="45">
        <f>V31+V65</f>
        <v>1730.5</v>
      </c>
    </row>
    <row r="32" spans="1:44" x14ac:dyDescent="0.3">
      <c r="A32" s="62" t="str">
        <f>'Day-1'!A32</f>
        <v>10:00-11:00</v>
      </c>
      <c r="B32" s="108">
        <v>169</v>
      </c>
      <c r="C32" s="140">
        <v>24</v>
      </c>
      <c r="D32" s="108">
        <v>18</v>
      </c>
      <c r="E32" s="108">
        <v>28</v>
      </c>
      <c r="F32" s="108">
        <v>19</v>
      </c>
      <c r="G32" s="108">
        <v>24</v>
      </c>
      <c r="H32" s="108">
        <v>74</v>
      </c>
      <c r="I32" s="108">
        <v>0</v>
      </c>
      <c r="J32" s="108">
        <v>232</v>
      </c>
      <c r="K32" s="108">
        <v>32</v>
      </c>
      <c r="L32" s="108">
        <v>4</v>
      </c>
      <c r="M32" s="108">
        <v>11</v>
      </c>
      <c r="N32" s="108">
        <v>0</v>
      </c>
      <c r="O32" s="108">
        <v>0</v>
      </c>
      <c r="P32" s="108">
        <v>0</v>
      </c>
      <c r="Q32" s="66">
        <f t="shared" si="2"/>
        <v>457</v>
      </c>
      <c r="R32" s="59">
        <f t="shared" si="3"/>
        <v>178</v>
      </c>
      <c r="S32" s="59">
        <f t="shared" si="0"/>
        <v>635</v>
      </c>
      <c r="T32" s="59">
        <f t="shared" si="4"/>
        <v>0</v>
      </c>
      <c r="U32" s="59">
        <f t="shared" si="5"/>
        <v>635</v>
      </c>
      <c r="V32" s="60">
        <f t="shared" si="6"/>
        <v>966.5</v>
      </c>
      <c r="W32" s="47" t="str">
        <f t="shared" si="1"/>
        <v>10:00-11:00</v>
      </c>
      <c r="X32" s="45">
        <f>B32+B66</f>
        <v>351</v>
      </c>
      <c r="Y32" s="45">
        <f>C32+C66</f>
        <v>54</v>
      </c>
      <c r="Z32" s="45">
        <f>D32+D66</f>
        <v>44</v>
      </c>
      <c r="AA32" s="45">
        <f>E32+E66</f>
        <v>42</v>
      </c>
      <c r="AB32" s="45">
        <f>F32+F66</f>
        <v>29</v>
      </c>
      <c r="AC32" s="45">
        <f>G32+G66</f>
        <v>52</v>
      </c>
      <c r="AD32" s="45">
        <f>H32+H66</f>
        <v>133</v>
      </c>
      <c r="AE32" s="45">
        <f>I32+I66</f>
        <v>0</v>
      </c>
      <c r="AF32" s="45">
        <f>J32+J66</f>
        <v>359</v>
      </c>
      <c r="AG32" s="45">
        <f>K32+K66</f>
        <v>74</v>
      </c>
      <c r="AH32" s="45">
        <f>L32+L66</f>
        <v>4</v>
      </c>
      <c r="AI32" s="45">
        <f>M32+M66</f>
        <v>16</v>
      </c>
      <c r="AJ32" s="45">
        <f>N32+N66</f>
        <v>2</v>
      </c>
      <c r="AK32" s="45">
        <f>O32+O66</f>
        <v>0</v>
      </c>
      <c r="AL32" s="45">
        <f>P32+P66</f>
        <v>2</v>
      </c>
      <c r="AM32" s="45">
        <f>Q32+Q66</f>
        <v>840</v>
      </c>
      <c r="AN32" s="45">
        <f>R32+R66</f>
        <v>322</v>
      </c>
      <c r="AO32" s="45">
        <f>S32+S66</f>
        <v>1162</v>
      </c>
      <c r="AP32" s="45">
        <f>T32+T66</f>
        <v>2</v>
      </c>
      <c r="AQ32" s="45">
        <f>U32+U66</f>
        <v>1162</v>
      </c>
      <c r="AR32" s="45">
        <f>V32+V66</f>
        <v>1803</v>
      </c>
    </row>
    <row r="33" spans="1:44" x14ac:dyDescent="0.3">
      <c r="A33" s="62" t="str">
        <f>'Day-1'!A33</f>
        <v>11:00-12:00</v>
      </c>
      <c r="B33" s="108">
        <v>157</v>
      </c>
      <c r="C33" s="140">
        <v>26</v>
      </c>
      <c r="D33" s="108">
        <v>23</v>
      </c>
      <c r="E33" s="108">
        <v>25</v>
      </c>
      <c r="F33" s="108">
        <v>13</v>
      </c>
      <c r="G33" s="108">
        <v>17</v>
      </c>
      <c r="H33" s="108">
        <v>54</v>
      </c>
      <c r="I33" s="108">
        <v>0</v>
      </c>
      <c r="J33" s="108">
        <v>218</v>
      </c>
      <c r="K33" s="108">
        <v>51</v>
      </c>
      <c r="L33" s="108">
        <v>0</v>
      </c>
      <c r="M33" s="108">
        <v>4</v>
      </c>
      <c r="N33" s="108">
        <v>0</v>
      </c>
      <c r="O33" s="108">
        <v>0</v>
      </c>
      <c r="P33" s="108">
        <v>5</v>
      </c>
      <c r="Q33" s="66">
        <f t="shared" si="2"/>
        <v>452</v>
      </c>
      <c r="R33" s="59">
        <f t="shared" si="3"/>
        <v>141</v>
      </c>
      <c r="S33" s="59">
        <f t="shared" si="0"/>
        <v>593</v>
      </c>
      <c r="T33" s="59">
        <f t="shared" si="4"/>
        <v>0</v>
      </c>
      <c r="U33" s="59">
        <f t="shared" si="5"/>
        <v>593</v>
      </c>
      <c r="V33" s="60">
        <f t="shared" si="6"/>
        <v>829</v>
      </c>
      <c r="W33" s="47" t="str">
        <f t="shared" si="1"/>
        <v>11:00-12:00</v>
      </c>
      <c r="X33" s="45">
        <f>B33+B67</f>
        <v>381</v>
      </c>
      <c r="Y33" s="45">
        <f>C33+C67</f>
        <v>51</v>
      </c>
      <c r="Z33" s="45">
        <f>D33+D67</f>
        <v>56</v>
      </c>
      <c r="AA33" s="45">
        <f>E33+E67</f>
        <v>50</v>
      </c>
      <c r="AB33" s="45">
        <f>F33+F67</f>
        <v>68</v>
      </c>
      <c r="AC33" s="45">
        <f>G33+G67</f>
        <v>49</v>
      </c>
      <c r="AD33" s="45">
        <f>H33+H67</f>
        <v>124</v>
      </c>
      <c r="AE33" s="45">
        <f>I33+I67</f>
        <v>0</v>
      </c>
      <c r="AF33" s="45">
        <f>J33+J67</f>
        <v>451</v>
      </c>
      <c r="AG33" s="45">
        <f>K33+K67</f>
        <v>94</v>
      </c>
      <c r="AH33" s="45">
        <f>L33+L67</f>
        <v>0</v>
      </c>
      <c r="AI33" s="45">
        <f>M33+M67</f>
        <v>13</v>
      </c>
      <c r="AJ33" s="45">
        <f>N33+N67</f>
        <v>0</v>
      </c>
      <c r="AK33" s="45">
        <f>O33+O67</f>
        <v>0</v>
      </c>
      <c r="AL33" s="45">
        <f>P33+P67</f>
        <v>5</v>
      </c>
      <c r="AM33" s="45">
        <f>Q33+Q67</f>
        <v>977</v>
      </c>
      <c r="AN33" s="45">
        <f>R33+R67</f>
        <v>365</v>
      </c>
      <c r="AO33" s="45">
        <f>S33+S67</f>
        <v>1342</v>
      </c>
      <c r="AP33" s="45">
        <f>T33+T67</f>
        <v>0</v>
      </c>
      <c r="AQ33" s="45">
        <f>U33+U67</f>
        <v>1342</v>
      </c>
      <c r="AR33" s="45">
        <f>V33+V67</f>
        <v>1974.5</v>
      </c>
    </row>
    <row r="34" spans="1:44" x14ac:dyDescent="0.3">
      <c r="A34" s="48" t="s">
        <v>23</v>
      </c>
      <c r="B34" s="146">
        <f>SUM(B10:B33)</f>
        <v>2389</v>
      </c>
      <c r="C34" s="94">
        <f t="shared" ref="C34:V34" si="7">SUM(C10:C33)</f>
        <v>451</v>
      </c>
      <c r="D34" s="146">
        <f t="shared" si="7"/>
        <v>396</v>
      </c>
      <c r="E34" s="110">
        <f>SUM(E10:E33)</f>
        <v>522</v>
      </c>
      <c r="F34" s="146">
        <f t="shared" si="7"/>
        <v>362</v>
      </c>
      <c r="G34" s="146">
        <f t="shared" si="7"/>
        <v>431</v>
      </c>
      <c r="H34" s="146">
        <f t="shared" si="7"/>
        <v>1581</v>
      </c>
      <c r="I34" s="146">
        <f t="shared" si="7"/>
        <v>0</v>
      </c>
      <c r="J34" s="146">
        <f t="shared" si="7"/>
        <v>3253</v>
      </c>
      <c r="K34" s="146">
        <f t="shared" si="7"/>
        <v>623</v>
      </c>
      <c r="L34" s="146">
        <f t="shared" si="7"/>
        <v>11</v>
      </c>
      <c r="M34" s="146">
        <f t="shared" si="7"/>
        <v>69</v>
      </c>
      <c r="N34" s="146">
        <f t="shared" si="7"/>
        <v>0</v>
      </c>
      <c r="O34" s="146">
        <f t="shared" si="7"/>
        <v>2</v>
      </c>
      <c r="P34" s="146">
        <f>SUM(P10:P33)</f>
        <v>5</v>
      </c>
      <c r="Q34" s="107">
        <f t="shared" si="7"/>
        <v>6718</v>
      </c>
      <c r="R34" s="30">
        <f t="shared" si="7"/>
        <v>3377</v>
      </c>
      <c r="S34" s="31">
        <f t="shared" si="7"/>
        <v>10095</v>
      </c>
      <c r="T34" s="30">
        <f t="shared" si="7"/>
        <v>2</v>
      </c>
      <c r="U34" s="31">
        <f t="shared" si="7"/>
        <v>10095</v>
      </c>
      <c r="V34" s="31">
        <f t="shared" si="7"/>
        <v>17017.5</v>
      </c>
      <c r="W34" s="48" t="s">
        <v>23</v>
      </c>
      <c r="X34" s="30">
        <f>SUM(X10:X33)</f>
        <v>4853</v>
      </c>
      <c r="Y34" s="30">
        <f t="shared" ref="Y34:AR34" si="8">SUM(Y10:Y33)</f>
        <v>923</v>
      </c>
      <c r="Z34" s="30">
        <f t="shared" si="8"/>
        <v>833</v>
      </c>
      <c r="AA34" s="30">
        <f t="shared" si="8"/>
        <v>1047</v>
      </c>
      <c r="AB34" s="30">
        <f t="shared" si="8"/>
        <v>774</v>
      </c>
      <c r="AC34" s="30">
        <f t="shared" si="8"/>
        <v>1081</v>
      </c>
      <c r="AD34" s="30">
        <f t="shared" si="8"/>
        <v>3022</v>
      </c>
      <c r="AE34" s="30">
        <f t="shared" si="8"/>
        <v>0</v>
      </c>
      <c r="AF34" s="30">
        <f t="shared" si="8"/>
        <v>5859</v>
      </c>
      <c r="AG34" s="30">
        <f t="shared" si="8"/>
        <v>1124</v>
      </c>
      <c r="AH34" s="30">
        <f t="shared" si="8"/>
        <v>15</v>
      </c>
      <c r="AI34" s="30">
        <f t="shared" si="8"/>
        <v>120</v>
      </c>
      <c r="AJ34" s="30">
        <f t="shared" si="8"/>
        <v>10</v>
      </c>
      <c r="AK34" s="30">
        <f t="shared" si="8"/>
        <v>2</v>
      </c>
      <c r="AL34" s="30">
        <f t="shared" si="8"/>
        <v>9</v>
      </c>
      <c r="AM34" s="30">
        <f t="shared" si="8"/>
        <v>12771</v>
      </c>
      <c r="AN34" s="30">
        <f t="shared" si="8"/>
        <v>6901</v>
      </c>
      <c r="AO34" s="30">
        <f t="shared" si="8"/>
        <v>19672</v>
      </c>
      <c r="AP34" s="30">
        <f t="shared" si="8"/>
        <v>12</v>
      </c>
      <c r="AQ34" s="30">
        <f t="shared" si="8"/>
        <v>19672</v>
      </c>
      <c r="AR34" s="31">
        <f t="shared" si="8"/>
        <v>33855</v>
      </c>
    </row>
    <row r="35" spans="1:44" x14ac:dyDescent="0.3">
      <c r="E35" s="109"/>
    </row>
    <row r="38" spans="1:44" x14ac:dyDescent="0.3">
      <c r="A38" s="150" t="s">
        <v>24</v>
      </c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</row>
    <row r="39" spans="1:44" x14ac:dyDescent="0.3">
      <c r="A39" s="143" t="str">
        <f>A5</f>
        <v xml:space="preserve">Location: </v>
      </c>
      <c r="B39" s="153" t="str">
        <f>B5</f>
        <v>Nathavalasa Toll Plaza</v>
      </c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5"/>
      <c r="Q39" s="143" t="str">
        <f>Q5</f>
        <v>Date:</v>
      </c>
      <c r="R39" s="156">
        <f>R5</f>
        <v>45233</v>
      </c>
      <c r="S39" s="157"/>
      <c r="T39" s="157"/>
      <c r="U39" s="157"/>
      <c r="V39" s="158"/>
    </row>
    <row r="40" spans="1:44" x14ac:dyDescent="0.3">
      <c r="A40" s="144" t="s">
        <v>207</v>
      </c>
      <c r="B40" s="153" t="str">
        <f>'Day-1'!B40:V40</f>
        <v>Anandapuram to Ranasthalam</v>
      </c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5"/>
    </row>
    <row r="41" spans="1:44" x14ac:dyDescent="0.3">
      <c r="A41" s="14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1" t="s">
        <v>2</v>
      </c>
      <c r="B42" s="171" t="s">
        <v>80</v>
      </c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0" t="s">
        <v>166</v>
      </c>
      <c r="O42" s="170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2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 t="shared" ref="A44:A67" si="9">A10</f>
        <v>12:00-13:00</v>
      </c>
      <c r="B44" s="108">
        <v>129</v>
      </c>
      <c r="C44" s="140">
        <v>18</v>
      </c>
      <c r="D44" s="108">
        <v>29</v>
      </c>
      <c r="E44" s="108">
        <v>25</v>
      </c>
      <c r="F44" s="108">
        <v>22</v>
      </c>
      <c r="G44" s="108">
        <v>27</v>
      </c>
      <c r="H44" s="108">
        <v>62</v>
      </c>
      <c r="I44" s="108">
        <v>0</v>
      </c>
      <c r="J44" s="108">
        <v>133</v>
      </c>
      <c r="K44" s="108">
        <v>45</v>
      </c>
      <c r="L44" s="108">
        <v>0</v>
      </c>
      <c r="M44" s="108">
        <v>4</v>
      </c>
      <c r="N44" s="108">
        <v>0</v>
      </c>
      <c r="O44" s="108">
        <v>0</v>
      </c>
      <c r="P44" s="108">
        <v>0</v>
      </c>
      <c r="Q44" s="63">
        <f t="shared" ref="Q44:Q67" si="10">B44+C44+J44+K44+N44+O44</f>
        <v>325</v>
      </c>
      <c r="R44" s="45">
        <f>D44+E44+F44+G44+H44+I44+L44+M44+P44</f>
        <v>169</v>
      </c>
      <c r="S44" s="45">
        <f t="shared" ref="S44:S67" si="11">Q44+R44</f>
        <v>494</v>
      </c>
      <c r="T44" s="45">
        <f>N44+O44</f>
        <v>0</v>
      </c>
      <c r="U44" s="45">
        <f>SUM(B44:P44)</f>
        <v>494</v>
      </c>
      <c r="V44" s="46">
        <f>SUMPRODUCT(B44:P44,$B$7:$P$7)</f>
        <v>805</v>
      </c>
    </row>
    <row r="45" spans="1:44" x14ac:dyDescent="0.3">
      <c r="A45" s="62" t="str">
        <f t="shared" si="9"/>
        <v>13:00-14:00</v>
      </c>
      <c r="B45" s="108">
        <v>124</v>
      </c>
      <c r="C45" s="140">
        <v>23</v>
      </c>
      <c r="D45" s="108">
        <v>21</v>
      </c>
      <c r="E45" s="108">
        <v>23</v>
      </c>
      <c r="F45" s="108">
        <v>25</v>
      </c>
      <c r="G45" s="108">
        <v>16</v>
      </c>
      <c r="H45" s="108">
        <v>42</v>
      </c>
      <c r="I45" s="108">
        <v>0</v>
      </c>
      <c r="J45" s="108">
        <v>120</v>
      </c>
      <c r="K45" s="108">
        <v>46</v>
      </c>
      <c r="L45" s="108">
        <v>0</v>
      </c>
      <c r="M45" s="108">
        <v>0</v>
      </c>
      <c r="N45" s="108">
        <v>0</v>
      </c>
      <c r="O45" s="108">
        <v>0</v>
      </c>
      <c r="P45" s="108">
        <v>0</v>
      </c>
      <c r="Q45" s="63">
        <f t="shared" si="10"/>
        <v>313</v>
      </c>
      <c r="R45" s="45">
        <f t="shared" ref="R45:R67" si="12">D45+E45+F45+G45+H45+I45+L45+M45+P45</f>
        <v>127</v>
      </c>
      <c r="S45" s="45">
        <f t="shared" si="11"/>
        <v>440</v>
      </c>
      <c r="T45" s="45">
        <f t="shared" ref="T45:T67" si="13">N45+O45</f>
        <v>0</v>
      </c>
      <c r="U45" s="45">
        <f t="shared" ref="U45:U67" si="14">SUM(B45:P45)</f>
        <v>440</v>
      </c>
      <c r="V45" s="46">
        <f t="shared" ref="V45:V67" si="15">SUMPRODUCT(B45:P45,$B$7:$P$7)</f>
        <v>666.5</v>
      </c>
    </row>
    <row r="46" spans="1:44" x14ac:dyDescent="0.3">
      <c r="A46" s="62" t="str">
        <f t="shared" si="9"/>
        <v>14:00-15:00</v>
      </c>
      <c r="B46" s="108">
        <v>150</v>
      </c>
      <c r="C46" s="140">
        <v>19</v>
      </c>
      <c r="D46" s="108">
        <v>31</v>
      </c>
      <c r="E46" s="108">
        <v>30</v>
      </c>
      <c r="F46" s="108">
        <v>12</v>
      </c>
      <c r="G46" s="108">
        <v>25</v>
      </c>
      <c r="H46" s="108">
        <v>43</v>
      </c>
      <c r="I46" s="108">
        <v>0</v>
      </c>
      <c r="J46" s="108">
        <v>89</v>
      </c>
      <c r="K46" s="108">
        <v>31</v>
      </c>
      <c r="L46" s="108">
        <v>0</v>
      </c>
      <c r="M46" s="108">
        <v>2</v>
      </c>
      <c r="N46" s="108">
        <v>0</v>
      </c>
      <c r="O46" s="108">
        <v>0</v>
      </c>
      <c r="P46" s="108">
        <v>0</v>
      </c>
      <c r="Q46" s="63">
        <f t="shared" si="10"/>
        <v>289</v>
      </c>
      <c r="R46" s="45">
        <f t="shared" si="12"/>
        <v>143</v>
      </c>
      <c r="S46" s="45">
        <f t="shared" si="11"/>
        <v>432</v>
      </c>
      <c r="T46" s="45">
        <f t="shared" si="13"/>
        <v>0</v>
      </c>
      <c r="U46" s="45">
        <f t="shared" si="14"/>
        <v>432</v>
      </c>
      <c r="V46" s="46">
        <f t="shared" si="15"/>
        <v>672</v>
      </c>
    </row>
    <row r="47" spans="1:44" x14ac:dyDescent="0.3">
      <c r="A47" s="62" t="str">
        <f t="shared" si="9"/>
        <v>15:00-16:00</v>
      </c>
      <c r="B47" s="108">
        <v>175</v>
      </c>
      <c r="C47" s="141">
        <v>24</v>
      </c>
      <c r="D47" s="108">
        <v>26</v>
      </c>
      <c r="E47" s="108">
        <v>28</v>
      </c>
      <c r="F47" s="108">
        <v>27</v>
      </c>
      <c r="G47" s="108">
        <v>50</v>
      </c>
      <c r="H47" s="108">
        <v>56</v>
      </c>
      <c r="I47" s="108">
        <v>0</v>
      </c>
      <c r="J47" s="108">
        <v>91</v>
      </c>
      <c r="K47" s="108">
        <v>31</v>
      </c>
      <c r="L47" s="108">
        <v>0</v>
      </c>
      <c r="M47" s="108">
        <v>5</v>
      </c>
      <c r="N47" s="108">
        <v>0</v>
      </c>
      <c r="O47" s="108">
        <v>0</v>
      </c>
      <c r="P47" s="108">
        <v>0</v>
      </c>
      <c r="Q47" s="63">
        <f t="shared" si="10"/>
        <v>321</v>
      </c>
      <c r="R47" s="45">
        <f t="shared" si="12"/>
        <v>192</v>
      </c>
      <c r="S47" s="45">
        <f t="shared" si="11"/>
        <v>513</v>
      </c>
      <c r="T47" s="45">
        <f t="shared" si="13"/>
        <v>0</v>
      </c>
      <c r="U47" s="45">
        <f t="shared" si="14"/>
        <v>513</v>
      </c>
      <c r="V47" s="46">
        <f t="shared" si="15"/>
        <v>897</v>
      </c>
    </row>
    <row r="48" spans="1:44" x14ac:dyDescent="0.3">
      <c r="A48" s="62" t="str">
        <f t="shared" si="9"/>
        <v>16:00-17:00</v>
      </c>
      <c r="B48" s="108">
        <v>163</v>
      </c>
      <c r="C48" s="141">
        <v>30</v>
      </c>
      <c r="D48" s="108">
        <v>19</v>
      </c>
      <c r="E48" s="108">
        <v>30</v>
      </c>
      <c r="F48" s="108">
        <v>22</v>
      </c>
      <c r="G48" s="108">
        <v>27</v>
      </c>
      <c r="H48" s="108">
        <v>64</v>
      </c>
      <c r="I48" s="108">
        <v>0</v>
      </c>
      <c r="J48" s="108">
        <v>140</v>
      </c>
      <c r="K48" s="108">
        <v>32</v>
      </c>
      <c r="L48" s="108">
        <v>4</v>
      </c>
      <c r="M48" s="108">
        <v>4</v>
      </c>
      <c r="N48" s="108">
        <v>0</v>
      </c>
      <c r="O48" s="108">
        <v>0</v>
      </c>
      <c r="P48" s="108">
        <v>0</v>
      </c>
      <c r="Q48" s="63">
        <f t="shared" si="10"/>
        <v>365</v>
      </c>
      <c r="R48" s="45">
        <f t="shared" si="12"/>
        <v>170</v>
      </c>
      <c r="S48" s="45">
        <f t="shared" si="11"/>
        <v>535</v>
      </c>
      <c r="T48" s="45">
        <f t="shared" si="13"/>
        <v>0</v>
      </c>
      <c r="U48" s="45">
        <f t="shared" si="14"/>
        <v>535</v>
      </c>
      <c r="V48" s="46">
        <f t="shared" si="15"/>
        <v>878</v>
      </c>
    </row>
    <row r="49" spans="1:22" x14ac:dyDescent="0.3">
      <c r="A49" s="62" t="str">
        <f t="shared" si="9"/>
        <v>17:00-18:00</v>
      </c>
      <c r="B49" s="108">
        <v>169</v>
      </c>
      <c r="C49" s="141">
        <v>24</v>
      </c>
      <c r="D49" s="108">
        <v>23</v>
      </c>
      <c r="E49" s="108">
        <v>27</v>
      </c>
      <c r="F49" s="108">
        <v>14</v>
      </c>
      <c r="G49" s="108">
        <v>27</v>
      </c>
      <c r="H49" s="108">
        <v>57</v>
      </c>
      <c r="I49" s="108">
        <v>0</v>
      </c>
      <c r="J49" s="108">
        <v>225</v>
      </c>
      <c r="K49" s="108">
        <v>38</v>
      </c>
      <c r="L49" s="108">
        <v>0</v>
      </c>
      <c r="M49" s="108">
        <v>3</v>
      </c>
      <c r="N49" s="108">
        <v>0</v>
      </c>
      <c r="O49" s="108">
        <v>0</v>
      </c>
      <c r="P49" s="108">
        <v>0</v>
      </c>
      <c r="Q49" s="63">
        <f t="shared" si="10"/>
        <v>456</v>
      </c>
      <c r="R49" s="45">
        <f t="shared" si="12"/>
        <v>151</v>
      </c>
      <c r="S49" s="45">
        <f t="shared" si="11"/>
        <v>607</v>
      </c>
      <c r="T49" s="45">
        <f t="shared" si="13"/>
        <v>0</v>
      </c>
      <c r="U49" s="45">
        <f t="shared" si="14"/>
        <v>607</v>
      </c>
      <c r="V49" s="46">
        <f t="shared" si="15"/>
        <v>848</v>
      </c>
    </row>
    <row r="50" spans="1:22" x14ac:dyDescent="0.3">
      <c r="A50" s="62" t="str">
        <f t="shared" si="9"/>
        <v>18:00-19:00</v>
      </c>
      <c r="B50" s="108">
        <v>131</v>
      </c>
      <c r="C50" s="140">
        <v>26</v>
      </c>
      <c r="D50" s="108">
        <v>19</v>
      </c>
      <c r="E50" s="108">
        <v>27</v>
      </c>
      <c r="F50" s="108">
        <v>17</v>
      </c>
      <c r="G50" s="108">
        <v>31</v>
      </c>
      <c r="H50" s="108">
        <v>67</v>
      </c>
      <c r="I50" s="108">
        <v>0</v>
      </c>
      <c r="J50" s="108">
        <v>160</v>
      </c>
      <c r="K50" s="108">
        <v>25</v>
      </c>
      <c r="L50" s="108">
        <v>0</v>
      </c>
      <c r="M50" s="108">
        <v>0</v>
      </c>
      <c r="N50" s="108">
        <v>0</v>
      </c>
      <c r="O50" s="108">
        <v>0</v>
      </c>
      <c r="P50" s="108">
        <v>0</v>
      </c>
      <c r="Q50" s="63">
        <f t="shared" si="10"/>
        <v>342</v>
      </c>
      <c r="R50" s="45">
        <f t="shared" si="12"/>
        <v>161</v>
      </c>
      <c r="S50" s="45">
        <f t="shared" si="11"/>
        <v>503</v>
      </c>
      <c r="T50" s="45">
        <f t="shared" si="13"/>
        <v>0</v>
      </c>
      <c r="U50" s="45">
        <f t="shared" si="14"/>
        <v>503</v>
      </c>
      <c r="V50" s="46">
        <f t="shared" si="15"/>
        <v>819</v>
      </c>
    </row>
    <row r="51" spans="1:22" x14ac:dyDescent="0.3">
      <c r="A51" s="62" t="str">
        <f t="shared" si="9"/>
        <v>19:00-20:00</v>
      </c>
      <c r="B51" s="108">
        <v>106</v>
      </c>
      <c r="C51" s="140">
        <v>21</v>
      </c>
      <c r="D51" s="108">
        <v>13</v>
      </c>
      <c r="E51" s="108">
        <v>26</v>
      </c>
      <c r="F51" s="108">
        <v>11</v>
      </c>
      <c r="G51" s="108">
        <v>19</v>
      </c>
      <c r="H51" s="108">
        <v>42</v>
      </c>
      <c r="I51" s="108">
        <v>0</v>
      </c>
      <c r="J51" s="108">
        <v>228</v>
      </c>
      <c r="K51" s="108">
        <v>15</v>
      </c>
      <c r="L51" s="108">
        <v>0</v>
      </c>
      <c r="M51" s="108">
        <v>0</v>
      </c>
      <c r="N51" s="108">
        <v>0</v>
      </c>
      <c r="O51" s="108">
        <v>0</v>
      </c>
      <c r="P51" s="108">
        <v>0</v>
      </c>
      <c r="Q51" s="63">
        <f t="shared" si="10"/>
        <v>370</v>
      </c>
      <c r="R51" s="45">
        <f t="shared" si="12"/>
        <v>111</v>
      </c>
      <c r="S51" s="45">
        <f t="shared" si="11"/>
        <v>481</v>
      </c>
      <c r="T51" s="45">
        <f t="shared" si="13"/>
        <v>0</v>
      </c>
      <c r="U51" s="45">
        <f t="shared" si="14"/>
        <v>481</v>
      </c>
      <c r="V51" s="46">
        <f t="shared" si="15"/>
        <v>629</v>
      </c>
    </row>
    <row r="52" spans="1:22" x14ac:dyDescent="0.3">
      <c r="A52" s="62" t="str">
        <f t="shared" si="9"/>
        <v>20:00-21:00</v>
      </c>
      <c r="B52" s="108">
        <v>99</v>
      </c>
      <c r="C52" s="140">
        <v>11</v>
      </c>
      <c r="D52" s="108">
        <v>19</v>
      </c>
      <c r="E52" s="108">
        <v>27</v>
      </c>
      <c r="F52" s="108">
        <v>21</v>
      </c>
      <c r="G52" s="108">
        <v>15</v>
      </c>
      <c r="H52" s="108">
        <v>40</v>
      </c>
      <c r="I52" s="108">
        <v>0</v>
      </c>
      <c r="J52" s="108">
        <v>137</v>
      </c>
      <c r="K52" s="108">
        <v>12</v>
      </c>
      <c r="L52" s="108">
        <v>0</v>
      </c>
      <c r="M52" s="108">
        <v>0</v>
      </c>
      <c r="N52" s="108">
        <v>0</v>
      </c>
      <c r="O52" s="108">
        <v>0</v>
      </c>
      <c r="P52" s="108">
        <v>0</v>
      </c>
      <c r="Q52" s="63">
        <f t="shared" si="10"/>
        <v>259</v>
      </c>
      <c r="R52" s="45">
        <f t="shared" si="12"/>
        <v>122</v>
      </c>
      <c r="S52" s="45">
        <f t="shared" si="11"/>
        <v>381</v>
      </c>
      <c r="T52" s="45">
        <f t="shared" si="13"/>
        <v>0</v>
      </c>
      <c r="U52" s="45">
        <f t="shared" si="14"/>
        <v>381</v>
      </c>
      <c r="V52" s="46">
        <f t="shared" si="15"/>
        <v>560</v>
      </c>
    </row>
    <row r="53" spans="1:22" x14ac:dyDescent="0.3">
      <c r="A53" s="62" t="str">
        <f t="shared" si="9"/>
        <v>21:00-22:00</v>
      </c>
      <c r="B53" s="108">
        <v>91</v>
      </c>
      <c r="C53" s="142">
        <v>19</v>
      </c>
      <c r="D53" s="108">
        <v>19</v>
      </c>
      <c r="E53" s="108">
        <v>22</v>
      </c>
      <c r="F53" s="108">
        <v>18</v>
      </c>
      <c r="G53" s="108">
        <v>25</v>
      </c>
      <c r="H53" s="108">
        <v>43</v>
      </c>
      <c r="I53" s="108">
        <v>0</v>
      </c>
      <c r="J53" s="108">
        <v>82</v>
      </c>
      <c r="K53" s="108">
        <v>9</v>
      </c>
      <c r="L53" s="108">
        <v>0</v>
      </c>
      <c r="M53" s="108">
        <v>2</v>
      </c>
      <c r="N53" s="108">
        <v>0</v>
      </c>
      <c r="O53" s="108">
        <v>0</v>
      </c>
      <c r="P53" s="108">
        <v>0</v>
      </c>
      <c r="Q53" s="66">
        <f t="shared" si="10"/>
        <v>201</v>
      </c>
      <c r="R53" s="59">
        <f t="shared" si="12"/>
        <v>129</v>
      </c>
      <c r="S53" s="59">
        <f t="shared" si="11"/>
        <v>330</v>
      </c>
      <c r="T53" s="59">
        <f t="shared" si="13"/>
        <v>0</v>
      </c>
      <c r="U53" s="59">
        <f t="shared" si="14"/>
        <v>330</v>
      </c>
      <c r="V53" s="60">
        <f t="shared" si="15"/>
        <v>581.5</v>
      </c>
    </row>
    <row r="54" spans="1:22" x14ac:dyDescent="0.3">
      <c r="A54" s="62" t="str">
        <f t="shared" si="9"/>
        <v>22:00-23:00</v>
      </c>
      <c r="B54" s="108">
        <v>79</v>
      </c>
      <c r="C54" s="140">
        <v>11</v>
      </c>
      <c r="D54" s="108">
        <v>17</v>
      </c>
      <c r="E54" s="108">
        <v>23</v>
      </c>
      <c r="F54" s="108">
        <v>6</v>
      </c>
      <c r="G54" s="108">
        <v>14</v>
      </c>
      <c r="H54" s="108">
        <v>59</v>
      </c>
      <c r="I54" s="108">
        <v>0</v>
      </c>
      <c r="J54" s="108">
        <v>28</v>
      </c>
      <c r="K54" s="108">
        <v>6</v>
      </c>
      <c r="L54" s="108">
        <v>0</v>
      </c>
      <c r="M54" s="108">
        <v>0</v>
      </c>
      <c r="N54" s="108">
        <v>0</v>
      </c>
      <c r="O54" s="108">
        <v>0</v>
      </c>
      <c r="P54" s="108">
        <v>0</v>
      </c>
      <c r="Q54" s="66">
        <f t="shared" si="10"/>
        <v>124</v>
      </c>
      <c r="R54" s="59">
        <f t="shared" si="12"/>
        <v>119</v>
      </c>
      <c r="S54" s="59">
        <f t="shared" si="11"/>
        <v>243</v>
      </c>
      <c r="T54" s="59">
        <f t="shared" si="13"/>
        <v>0</v>
      </c>
      <c r="U54" s="59">
        <f t="shared" si="14"/>
        <v>243</v>
      </c>
      <c r="V54" s="60">
        <f t="shared" si="15"/>
        <v>509</v>
      </c>
    </row>
    <row r="55" spans="1:22" x14ac:dyDescent="0.3">
      <c r="A55" s="62" t="str">
        <f t="shared" si="9"/>
        <v>23:00-00:00</v>
      </c>
      <c r="B55" s="108">
        <v>47</v>
      </c>
      <c r="C55" s="140">
        <v>3</v>
      </c>
      <c r="D55" s="108">
        <v>15</v>
      </c>
      <c r="E55" s="108">
        <v>14</v>
      </c>
      <c r="F55" s="108">
        <v>15</v>
      </c>
      <c r="G55" s="108">
        <v>13</v>
      </c>
      <c r="H55" s="108">
        <v>94</v>
      </c>
      <c r="I55" s="108">
        <v>0</v>
      </c>
      <c r="J55" s="108">
        <v>38</v>
      </c>
      <c r="K55" s="108">
        <v>0</v>
      </c>
      <c r="L55" s="108">
        <v>0</v>
      </c>
      <c r="M55" s="108">
        <v>0</v>
      </c>
      <c r="N55" s="108">
        <v>0</v>
      </c>
      <c r="O55" s="108">
        <v>0</v>
      </c>
      <c r="P55" s="108">
        <v>0</v>
      </c>
      <c r="Q55" s="66">
        <f t="shared" si="10"/>
        <v>88</v>
      </c>
      <c r="R55" s="59">
        <f t="shared" si="12"/>
        <v>151</v>
      </c>
      <c r="S55" s="59">
        <f t="shared" si="11"/>
        <v>239</v>
      </c>
      <c r="T55" s="59">
        <f t="shared" si="13"/>
        <v>0</v>
      </c>
      <c r="U55" s="59">
        <f t="shared" si="14"/>
        <v>239</v>
      </c>
      <c r="V55" s="60">
        <f t="shared" si="15"/>
        <v>618</v>
      </c>
    </row>
    <row r="56" spans="1:22" x14ac:dyDescent="0.3">
      <c r="A56" s="62" t="str">
        <f t="shared" si="9"/>
        <v>00:00-01:00</v>
      </c>
      <c r="B56" s="108">
        <v>28</v>
      </c>
      <c r="C56" s="140">
        <v>5</v>
      </c>
      <c r="D56" s="108">
        <v>17</v>
      </c>
      <c r="E56" s="108">
        <v>15</v>
      </c>
      <c r="F56" s="108">
        <v>10</v>
      </c>
      <c r="G56" s="108">
        <v>25</v>
      </c>
      <c r="H56" s="108">
        <v>59</v>
      </c>
      <c r="I56" s="108">
        <v>0</v>
      </c>
      <c r="J56" s="108">
        <v>16</v>
      </c>
      <c r="K56" s="108">
        <v>0</v>
      </c>
      <c r="L56" s="108">
        <v>0</v>
      </c>
      <c r="M56" s="108">
        <v>2</v>
      </c>
      <c r="N56" s="108">
        <v>2</v>
      </c>
      <c r="O56" s="108">
        <v>0</v>
      </c>
      <c r="P56" s="108">
        <v>0</v>
      </c>
      <c r="Q56" s="66">
        <f t="shared" si="10"/>
        <v>51</v>
      </c>
      <c r="R56" s="59">
        <f t="shared" si="12"/>
        <v>128</v>
      </c>
      <c r="S56" s="59">
        <f t="shared" si="11"/>
        <v>179</v>
      </c>
      <c r="T56" s="59">
        <f t="shared" si="13"/>
        <v>2</v>
      </c>
      <c r="U56" s="59">
        <f t="shared" si="14"/>
        <v>179</v>
      </c>
      <c r="V56" s="60">
        <f t="shared" si="15"/>
        <v>471</v>
      </c>
    </row>
    <row r="57" spans="1:22" x14ac:dyDescent="0.3">
      <c r="A57" s="62" t="str">
        <f t="shared" si="9"/>
        <v>01:00-02:00</v>
      </c>
      <c r="B57" s="108">
        <v>15</v>
      </c>
      <c r="C57" s="140">
        <v>3</v>
      </c>
      <c r="D57" s="108">
        <v>7</v>
      </c>
      <c r="E57" s="108">
        <v>15</v>
      </c>
      <c r="F57" s="108">
        <v>16</v>
      </c>
      <c r="G57" s="108">
        <v>26</v>
      </c>
      <c r="H57" s="108">
        <v>64</v>
      </c>
      <c r="I57" s="108">
        <v>0</v>
      </c>
      <c r="J57" s="108">
        <v>4</v>
      </c>
      <c r="K57" s="108">
        <v>4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6">
        <f t="shared" si="10"/>
        <v>26</v>
      </c>
      <c r="R57" s="59">
        <f t="shared" si="12"/>
        <v>128</v>
      </c>
      <c r="S57" s="59">
        <f t="shared" si="11"/>
        <v>154</v>
      </c>
      <c r="T57" s="59">
        <f t="shared" si="13"/>
        <v>0</v>
      </c>
      <c r="U57" s="59">
        <f t="shared" si="14"/>
        <v>154</v>
      </c>
      <c r="V57" s="60">
        <f t="shared" si="15"/>
        <v>473.5</v>
      </c>
    </row>
    <row r="58" spans="1:22" x14ac:dyDescent="0.3">
      <c r="A58" s="62" t="str">
        <f t="shared" si="9"/>
        <v>02:00-03:00</v>
      </c>
      <c r="B58" s="108">
        <v>4</v>
      </c>
      <c r="C58" s="140">
        <v>5</v>
      </c>
      <c r="D58" s="108">
        <v>5</v>
      </c>
      <c r="E58" s="108">
        <v>10</v>
      </c>
      <c r="F58" s="108">
        <v>14</v>
      </c>
      <c r="G58" s="108">
        <v>15</v>
      </c>
      <c r="H58" s="108">
        <v>55</v>
      </c>
      <c r="I58" s="108">
        <v>0</v>
      </c>
      <c r="J58" s="108">
        <v>5</v>
      </c>
      <c r="K58" s="108">
        <v>0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6">
        <f t="shared" si="10"/>
        <v>14</v>
      </c>
      <c r="R58" s="59">
        <f t="shared" si="12"/>
        <v>99</v>
      </c>
      <c r="S58" s="59">
        <f t="shared" si="11"/>
        <v>113</v>
      </c>
      <c r="T58" s="59">
        <f t="shared" si="13"/>
        <v>0</v>
      </c>
      <c r="U58" s="59">
        <f t="shared" si="14"/>
        <v>113</v>
      </c>
      <c r="V58" s="60">
        <f t="shared" si="15"/>
        <v>376</v>
      </c>
    </row>
    <row r="59" spans="1:22" x14ac:dyDescent="0.3">
      <c r="A59" s="62" t="str">
        <f t="shared" si="9"/>
        <v>03:00-04:00</v>
      </c>
      <c r="B59" s="108">
        <v>10</v>
      </c>
      <c r="C59" s="140">
        <v>7</v>
      </c>
      <c r="D59" s="108">
        <v>16</v>
      </c>
      <c r="E59" s="108">
        <v>23</v>
      </c>
      <c r="F59" s="108">
        <v>11</v>
      </c>
      <c r="G59" s="108">
        <v>19</v>
      </c>
      <c r="H59" s="108">
        <v>37</v>
      </c>
      <c r="I59" s="108">
        <v>0</v>
      </c>
      <c r="J59" s="108">
        <v>9</v>
      </c>
      <c r="K59" s="108">
        <v>2</v>
      </c>
      <c r="L59" s="108">
        <v>0</v>
      </c>
      <c r="M59" s="108">
        <v>2</v>
      </c>
      <c r="N59" s="108">
        <v>0</v>
      </c>
      <c r="O59" s="108">
        <v>0</v>
      </c>
      <c r="P59" s="108">
        <v>0</v>
      </c>
      <c r="Q59" s="66">
        <f t="shared" si="10"/>
        <v>28</v>
      </c>
      <c r="R59" s="59">
        <f t="shared" si="12"/>
        <v>108</v>
      </c>
      <c r="S59" s="59">
        <f t="shared" si="11"/>
        <v>136</v>
      </c>
      <c r="T59" s="59">
        <f t="shared" si="13"/>
        <v>0</v>
      </c>
      <c r="U59" s="59">
        <f t="shared" si="14"/>
        <v>136</v>
      </c>
      <c r="V59" s="60">
        <f t="shared" si="15"/>
        <v>353.5</v>
      </c>
    </row>
    <row r="60" spans="1:22" x14ac:dyDescent="0.3">
      <c r="A60" s="62" t="str">
        <f t="shared" si="9"/>
        <v>04:00-05:00</v>
      </c>
      <c r="B60" s="108">
        <v>9</v>
      </c>
      <c r="C60" s="140">
        <v>8</v>
      </c>
      <c r="D60" s="108">
        <v>9</v>
      </c>
      <c r="E60" s="108">
        <v>16</v>
      </c>
      <c r="F60" s="108">
        <v>13</v>
      </c>
      <c r="G60" s="108">
        <v>16</v>
      </c>
      <c r="H60" s="108">
        <v>67</v>
      </c>
      <c r="I60" s="108">
        <v>0</v>
      </c>
      <c r="J60" s="108">
        <v>18</v>
      </c>
      <c r="K60" s="108">
        <v>5</v>
      </c>
      <c r="L60" s="108">
        <v>0</v>
      </c>
      <c r="M60" s="108">
        <v>2</v>
      </c>
      <c r="N60" s="108">
        <v>0</v>
      </c>
      <c r="O60" s="108">
        <v>0</v>
      </c>
      <c r="P60" s="108">
        <v>0</v>
      </c>
      <c r="Q60" s="66">
        <f t="shared" si="10"/>
        <v>40</v>
      </c>
      <c r="R60" s="59">
        <f t="shared" si="12"/>
        <v>123</v>
      </c>
      <c r="S60" s="59">
        <f t="shared" si="11"/>
        <v>163</v>
      </c>
      <c r="T60" s="59">
        <f t="shared" si="13"/>
        <v>0</v>
      </c>
      <c r="U60" s="59">
        <f t="shared" si="14"/>
        <v>163</v>
      </c>
      <c r="V60" s="60">
        <f t="shared" si="15"/>
        <v>477.5</v>
      </c>
    </row>
    <row r="61" spans="1:22" x14ac:dyDescent="0.3">
      <c r="A61" s="62" t="str">
        <f t="shared" si="9"/>
        <v>05:00-06:00</v>
      </c>
      <c r="B61" s="108">
        <v>26</v>
      </c>
      <c r="C61" s="140">
        <v>22</v>
      </c>
      <c r="D61" s="108">
        <v>9</v>
      </c>
      <c r="E61" s="108">
        <v>24</v>
      </c>
      <c r="F61" s="108">
        <v>16</v>
      </c>
      <c r="G61" s="108">
        <v>17</v>
      </c>
      <c r="H61" s="108">
        <v>62</v>
      </c>
      <c r="I61" s="108">
        <v>0</v>
      </c>
      <c r="J61" s="108">
        <v>103</v>
      </c>
      <c r="K61" s="108">
        <v>14</v>
      </c>
      <c r="L61" s="108">
        <v>0</v>
      </c>
      <c r="M61" s="108">
        <v>2</v>
      </c>
      <c r="N61" s="108">
        <v>2</v>
      </c>
      <c r="O61" s="108">
        <v>0</v>
      </c>
      <c r="P61" s="108">
        <v>0</v>
      </c>
      <c r="Q61" s="66">
        <f t="shared" si="10"/>
        <v>167</v>
      </c>
      <c r="R61" s="59">
        <f t="shared" si="12"/>
        <v>130</v>
      </c>
      <c r="S61" s="59">
        <f t="shared" si="11"/>
        <v>297</v>
      </c>
      <c r="T61" s="59">
        <f t="shared" si="13"/>
        <v>2</v>
      </c>
      <c r="U61" s="59">
        <f t="shared" si="14"/>
        <v>297</v>
      </c>
      <c r="V61" s="60">
        <f t="shared" si="15"/>
        <v>590.5</v>
      </c>
    </row>
    <row r="62" spans="1:22" x14ac:dyDescent="0.3">
      <c r="A62" s="62" t="str">
        <f t="shared" si="9"/>
        <v>06:00-07:00</v>
      </c>
      <c r="B62" s="108">
        <v>55</v>
      </c>
      <c r="C62" s="140">
        <v>28</v>
      </c>
      <c r="D62" s="108">
        <v>11</v>
      </c>
      <c r="E62" s="108">
        <v>17</v>
      </c>
      <c r="F62" s="108">
        <v>18</v>
      </c>
      <c r="G62" s="108">
        <v>55</v>
      </c>
      <c r="H62" s="108">
        <v>82</v>
      </c>
      <c r="I62" s="108">
        <v>0</v>
      </c>
      <c r="J62" s="108">
        <v>87</v>
      </c>
      <c r="K62" s="108">
        <v>9</v>
      </c>
      <c r="L62" s="108">
        <v>0</v>
      </c>
      <c r="M62" s="108">
        <v>2</v>
      </c>
      <c r="N62" s="108">
        <v>0</v>
      </c>
      <c r="O62" s="108">
        <v>0</v>
      </c>
      <c r="P62" s="108">
        <v>0</v>
      </c>
      <c r="Q62" s="66">
        <f t="shared" si="10"/>
        <v>179</v>
      </c>
      <c r="R62" s="59">
        <f t="shared" si="12"/>
        <v>185</v>
      </c>
      <c r="S62" s="59">
        <f t="shared" si="11"/>
        <v>364</v>
      </c>
      <c r="T62" s="59">
        <f t="shared" si="13"/>
        <v>0</v>
      </c>
      <c r="U62" s="59">
        <f t="shared" si="14"/>
        <v>364</v>
      </c>
      <c r="V62" s="60">
        <f t="shared" si="15"/>
        <v>825</v>
      </c>
    </row>
    <row r="63" spans="1:22" x14ac:dyDescent="0.3">
      <c r="A63" s="62" t="str">
        <f t="shared" si="9"/>
        <v>07:00-08:00</v>
      </c>
      <c r="B63" s="108">
        <v>99</v>
      </c>
      <c r="C63" s="140">
        <v>30</v>
      </c>
      <c r="D63" s="108">
        <v>14</v>
      </c>
      <c r="E63" s="108">
        <v>22</v>
      </c>
      <c r="F63" s="108">
        <v>14</v>
      </c>
      <c r="G63" s="108">
        <v>40</v>
      </c>
      <c r="H63" s="108">
        <v>91</v>
      </c>
      <c r="I63" s="108">
        <v>0</v>
      </c>
      <c r="J63" s="108">
        <v>142</v>
      </c>
      <c r="K63" s="108">
        <v>21</v>
      </c>
      <c r="L63" s="108">
        <v>0</v>
      </c>
      <c r="M63" s="108">
        <v>4</v>
      </c>
      <c r="N63" s="108">
        <v>0</v>
      </c>
      <c r="O63" s="108">
        <v>0</v>
      </c>
      <c r="P63" s="108">
        <v>0</v>
      </c>
      <c r="Q63" s="66">
        <f t="shared" si="10"/>
        <v>292</v>
      </c>
      <c r="R63" s="59">
        <f t="shared" si="12"/>
        <v>185</v>
      </c>
      <c r="S63" s="59">
        <f t="shared" si="11"/>
        <v>477</v>
      </c>
      <c r="T63" s="59">
        <f t="shared" si="13"/>
        <v>0</v>
      </c>
      <c r="U63" s="59">
        <f t="shared" si="14"/>
        <v>477</v>
      </c>
      <c r="V63" s="60">
        <f t="shared" si="15"/>
        <v>917.5</v>
      </c>
    </row>
    <row r="64" spans="1:22" x14ac:dyDescent="0.3">
      <c r="A64" s="62" t="str">
        <f t="shared" si="9"/>
        <v>08:00-09:00</v>
      </c>
      <c r="B64" s="108">
        <v>148</v>
      </c>
      <c r="C64" s="140">
        <v>55</v>
      </c>
      <c r="D64" s="108">
        <v>16</v>
      </c>
      <c r="E64" s="108">
        <v>21</v>
      </c>
      <c r="F64" s="108">
        <v>14</v>
      </c>
      <c r="G64" s="108">
        <v>51</v>
      </c>
      <c r="H64" s="108">
        <v>62</v>
      </c>
      <c r="I64" s="108">
        <v>0</v>
      </c>
      <c r="J64" s="108">
        <v>211</v>
      </c>
      <c r="K64" s="108">
        <v>41</v>
      </c>
      <c r="L64" s="108">
        <v>0</v>
      </c>
      <c r="M64" s="108">
        <v>3</v>
      </c>
      <c r="N64" s="108">
        <v>2</v>
      </c>
      <c r="O64" s="108">
        <v>0</v>
      </c>
      <c r="P64" s="108">
        <v>0</v>
      </c>
      <c r="Q64" s="66">
        <f t="shared" si="10"/>
        <v>457</v>
      </c>
      <c r="R64" s="59">
        <f t="shared" si="12"/>
        <v>167</v>
      </c>
      <c r="S64" s="59">
        <f t="shared" si="11"/>
        <v>624</v>
      </c>
      <c r="T64" s="59">
        <f t="shared" si="13"/>
        <v>2</v>
      </c>
      <c r="U64" s="59">
        <f t="shared" si="14"/>
        <v>624</v>
      </c>
      <c r="V64" s="60">
        <f t="shared" si="15"/>
        <v>995.5</v>
      </c>
    </row>
    <row r="65" spans="1:22" x14ac:dyDescent="0.3">
      <c r="A65" s="62" t="str">
        <f t="shared" si="9"/>
        <v>09:00-10:00</v>
      </c>
      <c r="B65" s="108">
        <v>201</v>
      </c>
      <c r="C65" s="140">
        <v>25</v>
      </c>
      <c r="D65" s="108">
        <v>23</v>
      </c>
      <c r="E65" s="108">
        <v>21</v>
      </c>
      <c r="F65" s="108">
        <v>11</v>
      </c>
      <c r="G65" s="108">
        <v>37</v>
      </c>
      <c r="H65" s="108">
        <v>64</v>
      </c>
      <c r="I65" s="108">
        <v>0</v>
      </c>
      <c r="J65" s="108">
        <v>180</v>
      </c>
      <c r="K65" s="108">
        <v>30</v>
      </c>
      <c r="L65" s="108">
        <v>0</v>
      </c>
      <c r="M65" s="108">
        <v>0</v>
      </c>
      <c r="N65" s="108">
        <v>2</v>
      </c>
      <c r="O65" s="108">
        <v>0</v>
      </c>
      <c r="P65" s="108">
        <v>2</v>
      </c>
      <c r="Q65" s="66">
        <f t="shared" si="10"/>
        <v>438</v>
      </c>
      <c r="R65" s="59">
        <f t="shared" si="12"/>
        <v>158</v>
      </c>
      <c r="S65" s="59">
        <f t="shared" si="11"/>
        <v>596</v>
      </c>
      <c r="T65" s="59">
        <f t="shared" si="13"/>
        <v>2</v>
      </c>
      <c r="U65" s="59">
        <f t="shared" si="14"/>
        <v>596</v>
      </c>
      <c r="V65" s="60">
        <f t="shared" si="15"/>
        <v>892.5</v>
      </c>
    </row>
    <row r="66" spans="1:22" x14ac:dyDescent="0.3">
      <c r="A66" s="62" t="str">
        <f t="shared" si="9"/>
        <v>10:00-11:00</v>
      </c>
      <c r="B66" s="108">
        <v>182</v>
      </c>
      <c r="C66" s="140">
        <v>30</v>
      </c>
      <c r="D66" s="108">
        <v>26</v>
      </c>
      <c r="E66" s="108">
        <v>14</v>
      </c>
      <c r="F66" s="108">
        <v>10</v>
      </c>
      <c r="G66" s="108">
        <v>28</v>
      </c>
      <c r="H66" s="108">
        <v>59</v>
      </c>
      <c r="I66" s="108">
        <v>0</v>
      </c>
      <c r="J66" s="108">
        <v>127</v>
      </c>
      <c r="K66" s="108">
        <v>42</v>
      </c>
      <c r="L66" s="108">
        <v>0</v>
      </c>
      <c r="M66" s="108">
        <v>5</v>
      </c>
      <c r="N66" s="108">
        <v>2</v>
      </c>
      <c r="O66" s="108">
        <v>0</v>
      </c>
      <c r="P66" s="108">
        <v>2</v>
      </c>
      <c r="Q66" s="66">
        <f t="shared" si="10"/>
        <v>383</v>
      </c>
      <c r="R66" s="59">
        <f t="shared" si="12"/>
        <v>144</v>
      </c>
      <c r="S66" s="59">
        <f t="shared" si="11"/>
        <v>527</v>
      </c>
      <c r="T66" s="59">
        <f t="shared" si="13"/>
        <v>2</v>
      </c>
      <c r="U66" s="59">
        <f t="shared" si="14"/>
        <v>527</v>
      </c>
      <c r="V66" s="60">
        <f t="shared" si="15"/>
        <v>836.5</v>
      </c>
    </row>
    <row r="67" spans="1:22" x14ac:dyDescent="0.3">
      <c r="A67" s="62" t="str">
        <f t="shared" si="9"/>
        <v>11:00-12:00</v>
      </c>
      <c r="B67" s="108">
        <v>224</v>
      </c>
      <c r="C67" s="140">
        <v>25</v>
      </c>
      <c r="D67" s="108">
        <v>33</v>
      </c>
      <c r="E67" s="108">
        <v>25</v>
      </c>
      <c r="F67" s="108">
        <v>55</v>
      </c>
      <c r="G67" s="108">
        <v>32</v>
      </c>
      <c r="H67" s="108">
        <v>70</v>
      </c>
      <c r="I67" s="108">
        <v>0</v>
      </c>
      <c r="J67" s="108">
        <v>233</v>
      </c>
      <c r="K67" s="108">
        <v>43</v>
      </c>
      <c r="L67" s="108">
        <v>0</v>
      </c>
      <c r="M67" s="108">
        <v>9</v>
      </c>
      <c r="N67" s="108">
        <v>0</v>
      </c>
      <c r="O67" s="108">
        <v>0</v>
      </c>
      <c r="P67" s="108">
        <v>0</v>
      </c>
      <c r="Q67" s="66">
        <f t="shared" si="10"/>
        <v>525</v>
      </c>
      <c r="R67" s="59">
        <f t="shared" si="12"/>
        <v>224</v>
      </c>
      <c r="S67" s="59">
        <f t="shared" si="11"/>
        <v>749</v>
      </c>
      <c r="T67" s="59">
        <f t="shared" si="13"/>
        <v>0</v>
      </c>
      <c r="U67" s="59">
        <f t="shared" si="14"/>
        <v>749</v>
      </c>
      <c r="V67" s="60">
        <f t="shared" si="15"/>
        <v>1145.5</v>
      </c>
    </row>
    <row r="68" spans="1:22" x14ac:dyDescent="0.3">
      <c r="A68" s="48" t="s">
        <v>23</v>
      </c>
      <c r="B68" s="146">
        <v>2324</v>
      </c>
      <c r="C68" s="94">
        <v>434</v>
      </c>
      <c r="D68" s="146">
        <v>405</v>
      </c>
      <c r="E68" s="110">
        <v>484</v>
      </c>
      <c r="F68" s="146">
        <v>381</v>
      </c>
      <c r="G68" s="146">
        <v>607</v>
      </c>
      <c r="H68" s="146">
        <v>1352</v>
      </c>
      <c r="I68" s="146">
        <v>0</v>
      </c>
      <c r="J68" s="146">
        <v>2459</v>
      </c>
      <c r="K68" s="146">
        <v>463</v>
      </c>
      <c r="L68" s="146">
        <v>3</v>
      </c>
      <c r="M68" s="146">
        <v>36</v>
      </c>
      <c r="N68" s="146">
        <v>5</v>
      </c>
      <c r="O68" s="146">
        <v>0</v>
      </c>
      <c r="P68" s="146">
        <v>2</v>
      </c>
      <c r="Q68" s="107">
        <f>SUM(Q44:Q67)</f>
        <v>6053</v>
      </c>
      <c r="R68" s="30">
        <f t="shared" ref="R68:V68" si="16">SUM(R44:R67)</f>
        <v>3524</v>
      </c>
      <c r="S68" s="31">
        <f t="shared" si="16"/>
        <v>9577</v>
      </c>
      <c r="T68" s="30">
        <f>SUM(T44:T67)</f>
        <v>10</v>
      </c>
      <c r="U68" s="31">
        <f t="shared" si="16"/>
        <v>9577</v>
      </c>
      <c r="V68" s="31">
        <f t="shared" si="16"/>
        <v>16837.5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  <mergeCell ref="A38:V38"/>
    <mergeCell ref="A42:A43"/>
    <mergeCell ref="N42:O42"/>
    <mergeCell ref="B42:M42"/>
    <mergeCell ref="B39:P39"/>
    <mergeCell ref="R39:V39"/>
    <mergeCell ref="B40:V40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3:AR98"/>
  <sheetViews>
    <sheetView topLeftCell="A25" zoomScaleNormal="100" workbookViewId="0">
      <selection activeCell="A34" sqref="A34:M36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0" t="s">
        <v>25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9" t="s">
        <v>25</v>
      </c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1"/>
    </row>
    <row r="5" spans="1:44" x14ac:dyDescent="0.3">
      <c r="A5" s="143" t="s">
        <v>201</v>
      </c>
      <c r="B5" s="153" t="str">
        <f>'Day-2'!B5:P5</f>
        <v>Nathavalasa Toll Plaza</v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5"/>
      <c r="Q5" s="143" t="s">
        <v>202</v>
      </c>
      <c r="R5" s="156">
        <v>45234</v>
      </c>
      <c r="S5" s="157"/>
      <c r="T5" s="157"/>
      <c r="U5" s="157"/>
      <c r="V5" s="158"/>
      <c r="W5" s="143" t="str">
        <f>A5</f>
        <v xml:space="preserve">Location: </v>
      </c>
      <c r="X5" s="153" t="str">
        <f>B5</f>
        <v>Nathavalasa Toll Plaza</v>
      </c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5"/>
      <c r="AJ5" s="143" t="str">
        <f>Q5</f>
        <v>Date:</v>
      </c>
      <c r="AK5" s="156">
        <f>R5</f>
        <v>45234</v>
      </c>
      <c r="AL5" s="168"/>
      <c r="AM5" s="168"/>
      <c r="AN5" s="168"/>
      <c r="AO5" s="168"/>
      <c r="AP5" s="168"/>
      <c r="AQ5" s="168"/>
      <c r="AR5" s="169"/>
    </row>
    <row r="6" spans="1:44" x14ac:dyDescent="0.3">
      <c r="A6" s="144" t="s">
        <v>205</v>
      </c>
      <c r="B6" s="153" t="str">
        <f>'Day-2'!B6:V6</f>
        <v>Ranasthalam to Anandapuram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5"/>
      <c r="W6" s="153" t="s">
        <v>1</v>
      </c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5"/>
    </row>
    <row r="7" spans="1:44" x14ac:dyDescent="0.3">
      <c r="A7" s="14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1" t="s">
        <v>2</v>
      </c>
      <c r="B8" s="171" t="s">
        <v>80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0" t="s">
        <v>165</v>
      </c>
      <c r="O8" s="170"/>
      <c r="P8" s="103"/>
      <c r="Q8" s="104"/>
      <c r="R8" s="104"/>
      <c r="S8" s="104"/>
      <c r="T8" s="104"/>
      <c r="U8" s="104"/>
      <c r="V8" s="105"/>
      <c r="W8" s="162" t="s">
        <v>2</v>
      </c>
      <c r="X8" s="163" t="s">
        <v>80</v>
      </c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5"/>
      <c r="AJ8" s="166" t="s">
        <v>81</v>
      </c>
      <c r="AK8" s="167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2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1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49" t="s">
        <v>76</v>
      </c>
      <c r="AM9" s="149" t="s">
        <v>17</v>
      </c>
      <c r="AN9" s="149" t="s">
        <v>18</v>
      </c>
      <c r="AO9" s="149" t="s">
        <v>19</v>
      </c>
      <c r="AP9" s="149" t="s">
        <v>20</v>
      </c>
      <c r="AQ9" s="149" t="s">
        <v>21</v>
      </c>
      <c r="AR9" s="149" t="s">
        <v>22</v>
      </c>
    </row>
    <row r="10" spans="1:44" x14ac:dyDescent="0.3">
      <c r="A10" s="62" t="str">
        <f>'Day-2'!A10</f>
        <v>12:00-13:00</v>
      </c>
      <c r="B10" s="108">
        <v>127</v>
      </c>
      <c r="C10" s="140">
        <v>24</v>
      </c>
      <c r="D10" s="108">
        <v>17</v>
      </c>
      <c r="E10" s="108">
        <v>25</v>
      </c>
      <c r="F10" s="108">
        <v>9</v>
      </c>
      <c r="G10" s="108">
        <v>14</v>
      </c>
      <c r="H10" s="108">
        <v>60</v>
      </c>
      <c r="I10" s="108">
        <v>0</v>
      </c>
      <c r="J10" s="108">
        <v>157</v>
      </c>
      <c r="K10" s="108">
        <v>45</v>
      </c>
      <c r="L10" s="108">
        <v>0</v>
      </c>
      <c r="M10" s="108">
        <v>5</v>
      </c>
      <c r="N10" s="108">
        <v>0</v>
      </c>
      <c r="O10" s="108">
        <v>0</v>
      </c>
      <c r="P10" s="108">
        <v>0</v>
      </c>
      <c r="Q10" s="63">
        <f t="shared" ref="Q10:Q33" si="0">B10+C10+J10+K10+N10+O10</f>
        <v>353</v>
      </c>
      <c r="R10" s="45">
        <f t="shared" ref="R10:R33" si="1">D10+E10+F10+G10+H10+I10+L10+M10+P10</f>
        <v>130</v>
      </c>
      <c r="S10" s="45">
        <f t="shared" ref="S10:S33" si="2">Q10+R10</f>
        <v>483</v>
      </c>
      <c r="T10" s="45">
        <f t="shared" ref="T10:T33" si="3">N10+O10</f>
        <v>0</v>
      </c>
      <c r="U10" s="45">
        <f t="shared" ref="U10:U33" si="4">SUM(B10:P10)</f>
        <v>483</v>
      </c>
      <c r="V10" s="46">
        <f t="shared" ref="V10:V33" si="5">SUMPRODUCT(B10:P10,$B$7:$P$7)</f>
        <v>738.5</v>
      </c>
      <c r="W10" s="47" t="str">
        <f t="shared" ref="W10:W33" si="6">A10</f>
        <v>12:00-13:00</v>
      </c>
      <c r="X10" s="45">
        <f>B10+B44</f>
        <v>294</v>
      </c>
      <c r="Y10" s="45">
        <f>C10+C44</f>
        <v>46</v>
      </c>
      <c r="Z10" s="45">
        <f>D10+D44</f>
        <v>44</v>
      </c>
      <c r="AA10" s="45">
        <f>E10+E44</f>
        <v>39</v>
      </c>
      <c r="AB10" s="45">
        <f>F10+F44</f>
        <v>20</v>
      </c>
      <c r="AC10" s="45">
        <f>G10+G44</f>
        <v>39</v>
      </c>
      <c r="AD10" s="45">
        <f>H10+H44</f>
        <v>125</v>
      </c>
      <c r="AE10" s="45">
        <f>I10+I44</f>
        <v>0</v>
      </c>
      <c r="AF10" s="45">
        <f>J10+J44</f>
        <v>319</v>
      </c>
      <c r="AG10" s="45">
        <f>K10+K44</f>
        <v>75</v>
      </c>
      <c r="AH10" s="45">
        <f>L10+L44</f>
        <v>0</v>
      </c>
      <c r="AI10" s="45">
        <f>M10+M44</f>
        <v>10</v>
      </c>
      <c r="AJ10" s="45">
        <f>N10+N44</f>
        <v>0</v>
      </c>
      <c r="AK10" s="45">
        <f>O10+O44</f>
        <v>0</v>
      </c>
      <c r="AL10" s="45">
        <f>P10+P44</f>
        <v>0</v>
      </c>
      <c r="AM10" s="45">
        <f>Q10+Q44</f>
        <v>353</v>
      </c>
      <c r="AN10" s="45">
        <f>R10+R44</f>
        <v>130</v>
      </c>
      <c r="AO10" s="45">
        <f>S10+S44</f>
        <v>483</v>
      </c>
      <c r="AP10" s="45">
        <f>T10+T44</f>
        <v>0</v>
      </c>
      <c r="AQ10" s="45">
        <f>U10+U44</f>
        <v>1011</v>
      </c>
      <c r="AR10" s="53">
        <f>V10+V44</f>
        <v>1553.5</v>
      </c>
    </row>
    <row r="11" spans="1:44" x14ac:dyDescent="0.3">
      <c r="A11" s="62" t="str">
        <f>'Day-2'!A11</f>
        <v>13:00-14:00</v>
      </c>
      <c r="B11" s="108">
        <v>98</v>
      </c>
      <c r="C11" s="140">
        <v>19</v>
      </c>
      <c r="D11" s="108">
        <v>22</v>
      </c>
      <c r="E11" s="108">
        <v>26</v>
      </c>
      <c r="F11" s="108">
        <v>7</v>
      </c>
      <c r="G11" s="108">
        <v>17</v>
      </c>
      <c r="H11" s="108">
        <v>57</v>
      </c>
      <c r="I11" s="108">
        <v>0</v>
      </c>
      <c r="J11" s="108">
        <v>129</v>
      </c>
      <c r="K11" s="108">
        <v>30</v>
      </c>
      <c r="L11" s="108">
        <v>0</v>
      </c>
      <c r="M11" s="108">
        <v>2</v>
      </c>
      <c r="N11" s="108">
        <v>0</v>
      </c>
      <c r="O11" s="108">
        <v>0</v>
      </c>
      <c r="P11" s="108">
        <v>0</v>
      </c>
      <c r="Q11" s="63">
        <f t="shared" si="0"/>
        <v>276</v>
      </c>
      <c r="R11" s="45">
        <f t="shared" si="1"/>
        <v>131</v>
      </c>
      <c r="S11" s="45">
        <f t="shared" si="2"/>
        <v>407</v>
      </c>
      <c r="T11" s="45">
        <f t="shared" si="3"/>
        <v>0</v>
      </c>
      <c r="U11" s="45">
        <f t="shared" si="4"/>
        <v>407</v>
      </c>
      <c r="V11" s="46">
        <f t="shared" si="5"/>
        <v>648</v>
      </c>
      <c r="W11" s="47" t="str">
        <f t="shared" si="6"/>
        <v>13:00-14:00</v>
      </c>
      <c r="X11" s="45">
        <f>B11+B45</f>
        <v>196</v>
      </c>
      <c r="Y11" s="45">
        <f>C11+C45</f>
        <v>48</v>
      </c>
      <c r="Z11" s="45">
        <f>D11+D45</f>
        <v>38</v>
      </c>
      <c r="AA11" s="45">
        <f>E11+E45</f>
        <v>45</v>
      </c>
      <c r="AB11" s="45">
        <f>F11+F45</f>
        <v>21</v>
      </c>
      <c r="AC11" s="45">
        <f>G11+G45</f>
        <v>32</v>
      </c>
      <c r="AD11" s="45">
        <f>H11+H45</f>
        <v>136</v>
      </c>
      <c r="AE11" s="45">
        <f>I11+I45</f>
        <v>0</v>
      </c>
      <c r="AF11" s="45">
        <f>J11+J45</f>
        <v>305</v>
      </c>
      <c r="AG11" s="45">
        <f>K11+K45</f>
        <v>63</v>
      </c>
      <c r="AH11" s="45">
        <f>L11+L45</f>
        <v>0</v>
      </c>
      <c r="AI11" s="45">
        <f>M11+M45</f>
        <v>6</v>
      </c>
      <c r="AJ11" s="45">
        <f>N11+N45</f>
        <v>0</v>
      </c>
      <c r="AK11" s="45">
        <f>O11+O45</f>
        <v>0</v>
      </c>
      <c r="AL11" s="45">
        <f>P11+P45</f>
        <v>0</v>
      </c>
      <c r="AM11" s="45">
        <f>Q11+Q45</f>
        <v>276</v>
      </c>
      <c r="AN11" s="45">
        <f>R11+R45</f>
        <v>131</v>
      </c>
      <c r="AO11" s="45">
        <f>S11+S45</f>
        <v>407</v>
      </c>
      <c r="AP11" s="45">
        <f>T11+T45</f>
        <v>0</v>
      </c>
      <c r="AQ11" s="45">
        <f>U11+U45</f>
        <v>890</v>
      </c>
      <c r="AR11" s="45">
        <f>V11+V45</f>
        <v>1459</v>
      </c>
    </row>
    <row r="12" spans="1:44" x14ac:dyDescent="0.3">
      <c r="A12" s="62" t="str">
        <f>'Day-2'!A12</f>
        <v>14:00-15:00</v>
      </c>
      <c r="B12" s="108">
        <v>121</v>
      </c>
      <c r="C12" s="140">
        <v>27</v>
      </c>
      <c r="D12" s="108">
        <v>15</v>
      </c>
      <c r="E12" s="108">
        <v>17</v>
      </c>
      <c r="F12" s="108">
        <v>12</v>
      </c>
      <c r="G12" s="108">
        <v>13</v>
      </c>
      <c r="H12" s="108">
        <v>56</v>
      </c>
      <c r="I12" s="108">
        <v>0</v>
      </c>
      <c r="J12" s="108">
        <v>140</v>
      </c>
      <c r="K12" s="108">
        <v>32</v>
      </c>
      <c r="L12" s="108">
        <v>0</v>
      </c>
      <c r="M12" s="108">
        <v>2</v>
      </c>
      <c r="N12" s="108">
        <v>0</v>
      </c>
      <c r="O12" s="108">
        <v>2</v>
      </c>
      <c r="P12" s="108">
        <v>2</v>
      </c>
      <c r="Q12" s="63">
        <f t="shared" si="0"/>
        <v>322</v>
      </c>
      <c r="R12" s="45">
        <f t="shared" si="1"/>
        <v>117</v>
      </c>
      <c r="S12" s="45">
        <f t="shared" si="2"/>
        <v>439</v>
      </c>
      <c r="T12" s="45">
        <f t="shared" si="3"/>
        <v>2</v>
      </c>
      <c r="U12" s="45">
        <f t="shared" si="4"/>
        <v>439</v>
      </c>
      <c r="V12" s="46">
        <f t="shared" si="5"/>
        <v>693.5</v>
      </c>
      <c r="W12" s="47" t="str">
        <f t="shared" si="6"/>
        <v>14:00-15:00</v>
      </c>
      <c r="X12" s="45">
        <f>B12+B46</f>
        <v>210</v>
      </c>
      <c r="Y12" s="45">
        <f>C12+C46</f>
        <v>56</v>
      </c>
      <c r="Z12" s="45">
        <f>D12+D46</f>
        <v>39</v>
      </c>
      <c r="AA12" s="45">
        <f>E12+E46</f>
        <v>36</v>
      </c>
      <c r="AB12" s="45">
        <f>F12+F46</f>
        <v>18</v>
      </c>
      <c r="AC12" s="45">
        <f>G12+G46</f>
        <v>35</v>
      </c>
      <c r="AD12" s="45">
        <f>H12+H46</f>
        <v>141</v>
      </c>
      <c r="AE12" s="45">
        <f>I12+I46</f>
        <v>0</v>
      </c>
      <c r="AF12" s="45">
        <f>J12+J46</f>
        <v>338</v>
      </c>
      <c r="AG12" s="45">
        <f>K12+K46</f>
        <v>61</v>
      </c>
      <c r="AH12" s="45">
        <f>L12+L46</f>
        <v>2</v>
      </c>
      <c r="AI12" s="45">
        <f>M12+M46</f>
        <v>2</v>
      </c>
      <c r="AJ12" s="45">
        <f>N12+N46</f>
        <v>2</v>
      </c>
      <c r="AK12" s="45">
        <f>O12+O46</f>
        <v>2</v>
      </c>
      <c r="AL12" s="45">
        <f>P12+P46</f>
        <v>2</v>
      </c>
      <c r="AM12" s="45">
        <f>Q12+Q46</f>
        <v>322</v>
      </c>
      <c r="AN12" s="45">
        <f>R12+R46</f>
        <v>117</v>
      </c>
      <c r="AO12" s="45">
        <f>S12+S46</f>
        <v>439</v>
      </c>
      <c r="AP12" s="45">
        <f>T12+T46</f>
        <v>4</v>
      </c>
      <c r="AQ12" s="45">
        <f>U12+U46</f>
        <v>944</v>
      </c>
      <c r="AR12" s="45">
        <f>V12+V46</f>
        <v>1520.5</v>
      </c>
    </row>
    <row r="13" spans="1:44" x14ac:dyDescent="0.3">
      <c r="A13" s="62" t="str">
        <f>'Day-2'!A13</f>
        <v>15:00-16:00</v>
      </c>
      <c r="B13" s="108">
        <v>167</v>
      </c>
      <c r="C13" s="141">
        <v>26</v>
      </c>
      <c r="D13" s="108">
        <v>29</v>
      </c>
      <c r="E13" s="108">
        <v>21</v>
      </c>
      <c r="F13" s="108">
        <v>14</v>
      </c>
      <c r="G13" s="108">
        <v>14</v>
      </c>
      <c r="H13" s="108">
        <v>59</v>
      </c>
      <c r="I13" s="108">
        <v>0</v>
      </c>
      <c r="J13" s="108">
        <v>178</v>
      </c>
      <c r="K13" s="108">
        <v>34</v>
      </c>
      <c r="L13" s="108">
        <v>0</v>
      </c>
      <c r="M13" s="108">
        <v>4</v>
      </c>
      <c r="N13" s="108">
        <v>0</v>
      </c>
      <c r="O13" s="108">
        <v>3</v>
      </c>
      <c r="P13" s="108">
        <v>0</v>
      </c>
      <c r="Q13" s="63">
        <f t="shared" si="0"/>
        <v>408</v>
      </c>
      <c r="R13" s="45">
        <f t="shared" si="1"/>
        <v>141</v>
      </c>
      <c r="S13" s="45">
        <f t="shared" si="2"/>
        <v>549</v>
      </c>
      <c r="T13" s="45">
        <f t="shared" si="3"/>
        <v>3</v>
      </c>
      <c r="U13" s="45">
        <f t="shared" si="4"/>
        <v>549</v>
      </c>
      <c r="V13" s="46">
        <f t="shared" si="5"/>
        <v>802</v>
      </c>
      <c r="W13" s="47" t="str">
        <f t="shared" si="6"/>
        <v>15:00-16:00</v>
      </c>
      <c r="X13" s="45">
        <f>B13+B47</f>
        <v>348</v>
      </c>
      <c r="Y13" s="45">
        <f>C13+C47</f>
        <v>55</v>
      </c>
      <c r="Z13" s="45">
        <f>D13+D47</f>
        <v>41</v>
      </c>
      <c r="AA13" s="45">
        <f>E13+E47</f>
        <v>36</v>
      </c>
      <c r="AB13" s="45">
        <f>F13+F47</f>
        <v>27</v>
      </c>
      <c r="AC13" s="45">
        <f>G13+G47</f>
        <v>29</v>
      </c>
      <c r="AD13" s="45">
        <f>H13+H47</f>
        <v>148</v>
      </c>
      <c r="AE13" s="45">
        <f>I13+I47</f>
        <v>0</v>
      </c>
      <c r="AF13" s="45">
        <f>J13+J47</f>
        <v>372</v>
      </c>
      <c r="AG13" s="45">
        <f>K13+K47</f>
        <v>62</v>
      </c>
      <c r="AH13" s="45">
        <f>L13+L47</f>
        <v>2</v>
      </c>
      <c r="AI13" s="45">
        <f>M13+M47</f>
        <v>9</v>
      </c>
      <c r="AJ13" s="45">
        <f>N13+N47</f>
        <v>0</v>
      </c>
      <c r="AK13" s="45">
        <f>O13+O47</f>
        <v>3</v>
      </c>
      <c r="AL13" s="45">
        <f>P13+P47</f>
        <v>0</v>
      </c>
      <c r="AM13" s="45">
        <f>Q13+Q47</f>
        <v>408</v>
      </c>
      <c r="AN13" s="45">
        <f>R13+R47</f>
        <v>141</v>
      </c>
      <c r="AO13" s="45">
        <f>S13+S47</f>
        <v>549</v>
      </c>
      <c r="AP13" s="45">
        <f>T13+T47</f>
        <v>3</v>
      </c>
      <c r="AQ13" s="45">
        <f>U13+U47</f>
        <v>1132</v>
      </c>
      <c r="AR13" s="45">
        <f>V13+V47</f>
        <v>1739.5</v>
      </c>
    </row>
    <row r="14" spans="1:44" x14ac:dyDescent="0.3">
      <c r="A14" s="62" t="str">
        <f>'Day-2'!A14</f>
        <v>16:00-17:00</v>
      </c>
      <c r="B14" s="108">
        <v>159</v>
      </c>
      <c r="C14" s="141">
        <v>32</v>
      </c>
      <c r="D14" s="108">
        <v>24</v>
      </c>
      <c r="E14" s="108">
        <v>23</v>
      </c>
      <c r="F14" s="108">
        <v>13</v>
      </c>
      <c r="G14" s="108">
        <v>26</v>
      </c>
      <c r="H14" s="108">
        <v>55</v>
      </c>
      <c r="I14" s="108">
        <v>0</v>
      </c>
      <c r="J14" s="108">
        <v>208</v>
      </c>
      <c r="K14" s="108">
        <v>50</v>
      </c>
      <c r="L14" s="108">
        <v>0</v>
      </c>
      <c r="M14" s="108">
        <v>3</v>
      </c>
      <c r="N14" s="108">
        <v>0</v>
      </c>
      <c r="O14" s="108">
        <v>0</v>
      </c>
      <c r="P14" s="108">
        <v>0</v>
      </c>
      <c r="Q14" s="63">
        <f t="shared" si="0"/>
        <v>449</v>
      </c>
      <c r="R14" s="45">
        <f t="shared" si="1"/>
        <v>144</v>
      </c>
      <c r="S14" s="45">
        <f t="shared" si="2"/>
        <v>593</v>
      </c>
      <c r="T14" s="45">
        <f t="shared" si="3"/>
        <v>0</v>
      </c>
      <c r="U14" s="45">
        <f t="shared" si="4"/>
        <v>593</v>
      </c>
      <c r="V14" s="46">
        <f t="shared" si="5"/>
        <v>845.5</v>
      </c>
      <c r="W14" s="47" t="str">
        <f t="shared" si="6"/>
        <v>16:00-17:00</v>
      </c>
      <c r="X14" s="45">
        <f>B14+B48</f>
        <v>364</v>
      </c>
      <c r="Y14" s="45">
        <f>C14+C48</f>
        <v>57</v>
      </c>
      <c r="Z14" s="45">
        <f>D14+D48</f>
        <v>33</v>
      </c>
      <c r="AA14" s="45">
        <f>E14+E48</f>
        <v>34</v>
      </c>
      <c r="AB14" s="45">
        <f>F14+F48</f>
        <v>30</v>
      </c>
      <c r="AC14" s="45">
        <f>G14+G48</f>
        <v>40</v>
      </c>
      <c r="AD14" s="45">
        <f>H14+H48</f>
        <v>110</v>
      </c>
      <c r="AE14" s="45">
        <f>I14+I48</f>
        <v>0</v>
      </c>
      <c r="AF14" s="45">
        <f>J14+J48</f>
        <v>402</v>
      </c>
      <c r="AG14" s="45">
        <f>K14+K48</f>
        <v>106</v>
      </c>
      <c r="AH14" s="45">
        <f>L14+L48</f>
        <v>0</v>
      </c>
      <c r="AI14" s="45">
        <f>M14+M48</f>
        <v>7</v>
      </c>
      <c r="AJ14" s="45">
        <f>N14+N48</f>
        <v>0</v>
      </c>
      <c r="AK14" s="45">
        <f>O14+O48</f>
        <v>0</v>
      </c>
      <c r="AL14" s="45">
        <f>P14+P48</f>
        <v>0</v>
      </c>
      <c r="AM14" s="45">
        <f>Q14+Q48</f>
        <v>449</v>
      </c>
      <c r="AN14" s="45">
        <f>R14+R48</f>
        <v>144</v>
      </c>
      <c r="AO14" s="45">
        <f>S14+S48</f>
        <v>593</v>
      </c>
      <c r="AP14" s="45">
        <f>T14+T48</f>
        <v>0</v>
      </c>
      <c r="AQ14" s="45">
        <f>U14+U48</f>
        <v>1183</v>
      </c>
      <c r="AR14" s="45">
        <f>V14+V48</f>
        <v>1662.5</v>
      </c>
    </row>
    <row r="15" spans="1:44" x14ac:dyDescent="0.3">
      <c r="A15" s="62" t="str">
        <f>'Day-2'!A15</f>
        <v>17:00-18:00</v>
      </c>
      <c r="B15" s="108">
        <v>185</v>
      </c>
      <c r="C15" s="141">
        <v>30</v>
      </c>
      <c r="D15" s="108">
        <v>15</v>
      </c>
      <c r="E15" s="108">
        <v>17</v>
      </c>
      <c r="F15" s="108">
        <v>12</v>
      </c>
      <c r="G15" s="108">
        <v>33</v>
      </c>
      <c r="H15" s="108">
        <v>64</v>
      </c>
      <c r="I15" s="108">
        <v>0</v>
      </c>
      <c r="J15" s="108">
        <v>254</v>
      </c>
      <c r="K15" s="108">
        <v>42</v>
      </c>
      <c r="L15" s="108">
        <v>0</v>
      </c>
      <c r="M15" s="108">
        <v>3</v>
      </c>
      <c r="N15" s="108">
        <v>0</v>
      </c>
      <c r="O15" s="108">
        <v>0</v>
      </c>
      <c r="P15" s="108">
        <v>0</v>
      </c>
      <c r="Q15" s="63">
        <f t="shared" si="0"/>
        <v>511</v>
      </c>
      <c r="R15" s="45">
        <f t="shared" si="1"/>
        <v>144</v>
      </c>
      <c r="S15" s="45">
        <f t="shared" si="2"/>
        <v>655</v>
      </c>
      <c r="T15" s="45">
        <f t="shared" si="3"/>
        <v>0</v>
      </c>
      <c r="U15" s="45">
        <f t="shared" si="4"/>
        <v>655</v>
      </c>
      <c r="V15" s="46">
        <f t="shared" si="5"/>
        <v>921</v>
      </c>
      <c r="W15" s="47" t="str">
        <f t="shared" si="6"/>
        <v>17:00-18:00</v>
      </c>
      <c r="X15" s="45">
        <f>B15+B49</f>
        <v>395</v>
      </c>
      <c r="Y15" s="45">
        <f>C15+C49</f>
        <v>71</v>
      </c>
      <c r="Z15" s="45">
        <f>D15+D49</f>
        <v>26</v>
      </c>
      <c r="AA15" s="45">
        <f>E15+E49</f>
        <v>44</v>
      </c>
      <c r="AB15" s="45">
        <f>F15+F49</f>
        <v>20</v>
      </c>
      <c r="AC15" s="45">
        <f>G15+G49</f>
        <v>47</v>
      </c>
      <c r="AD15" s="45">
        <f>H15+H49</f>
        <v>146</v>
      </c>
      <c r="AE15" s="45">
        <f>I15+I49</f>
        <v>0</v>
      </c>
      <c r="AF15" s="45">
        <f>J15+J49</f>
        <v>429</v>
      </c>
      <c r="AG15" s="45">
        <f>K15+K49</f>
        <v>82</v>
      </c>
      <c r="AH15" s="45">
        <f>L15+L49</f>
        <v>4</v>
      </c>
      <c r="AI15" s="45">
        <f>M15+M49</f>
        <v>10</v>
      </c>
      <c r="AJ15" s="45">
        <f>N15+N49</f>
        <v>0</v>
      </c>
      <c r="AK15" s="45">
        <f>O15+O49</f>
        <v>0</v>
      </c>
      <c r="AL15" s="45">
        <f>P15+P49</f>
        <v>0</v>
      </c>
      <c r="AM15" s="45">
        <f>Q15+Q49</f>
        <v>511</v>
      </c>
      <c r="AN15" s="45">
        <f>R15+R49</f>
        <v>145</v>
      </c>
      <c r="AO15" s="45">
        <f>S15+S49</f>
        <v>656</v>
      </c>
      <c r="AP15" s="45">
        <f>T15+T49</f>
        <v>0</v>
      </c>
      <c r="AQ15" s="45">
        <f>U15+U49</f>
        <v>1274</v>
      </c>
      <c r="AR15" s="45">
        <f>V15+V49</f>
        <v>1905.5</v>
      </c>
    </row>
    <row r="16" spans="1:44" x14ac:dyDescent="0.3">
      <c r="A16" s="62" t="str">
        <f>'Day-2'!A16</f>
        <v>18:00-19:00</v>
      </c>
      <c r="B16" s="108">
        <v>203</v>
      </c>
      <c r="C16" s="140">
        <v>32</v>
      </c>
      <c r="D16" s="108">
        <v>27</v>
      </c>
      <c r="E16" s="108">
        <v>24</v>
      </c>
      <c r="F16" s="108">
        <v>7</v>
      </c>
      <c r="G16" s="108">
        <v>26</v>
      </c>
      <c r="H16" s="108">
        <v>86</v>
      </c>
      <c r="I16" s="108">
        <v>0</v>
      </c>
      <c r="J16" s="108">
        <v>261</v>
      </c>
      <c r="K16" s="108">
        <v>32</v>
      </c>
      <c r="L16" s="108">
        <v>2</v>
      </c>
      <c r="M16" s="108">
        <v>6</v>
      </c>
      <c r="N16" s="108">
        <v>0</v>
      </c>
      <c r="O16" s="108">
        <v>0</v>
      </c>
      <c r="P16" s="108">
        <v>0</v>
      </c>
      <c r="Q16" s="63">
        <f t="shared" si="0"/>
        <v>528</v>
      </c>
      <c r="R16" s="45">
        <f t="shared" si="1"/>
        <v>178</v>
      </c>
      <c r="S16" s="45">
        <f t="shared" si="2"/>
        <v>706</v>
      </c>
      <c r="T16" s="45">
        <f t="shared" si="3"/>
        <v>0</v>
      </c>
      <c r="U16" s="45">
        <f t="shared" si="4"/>
        <v>706</v>
      </c>
      <c r="V16" s="46">
        <f t="shared" si="5"/>
        <v>1040.5</v>
      </c>
      <c r="W16" s="47" t="str">
        <f t="shared" si="6"/>
        <v>18:00-19:00</v>
      </c>
      <c r="X16" s="45">
        <f>B16+B50</f>
        <v>340</v>
      </c>
      <c r="Y16" s="45">
        <f>C16+C50</f>
        <v>53</v>
      </c>
      <c r="Z16" s="45">
        <f>D16+D50</f>
        <v>41</v>
      </c>
      <c r="AA16" s="45">
        <f>E16+E50</f>
        <v>40</v>
      </c>
      <c r="AB16" s="45">
        <f>F16+F50</f>
        <v>19</v>
      </c>
      <c r="AC16" s="45">
        <f>G16+G50</f>
        <v>32</v>
      </c>
      <c r="AD16" s="45">
        <f>H16+H50</f>
        <v>143</v>
      </c>
      <c r="AE16" s="45">
        <f>I16+I50</f>
        <v>0</v>
      </c>
      <c r="AF16" s="45">
        <f>J16+J50</f>
        <v>459</v>
      </c>
      <c r="AG16" s="45">
        <f>K16+K50</f>
        <v>58</v>
      </c>
      <c r="AH16" s="45">
        <f>L16+L50</f>
        <v>2</v>
      </c>
      <c r="AI16" s="45">
        <f>M16+M50</f>
        <v>13</v>
      </c>
      <c r="AJ16" s="45">
        <f>N16+N50</f>
        <v>0</v>
      </c>
      <c r="AK16" s="45">
        <f>O16+O50</f>
        <v>0</v>
      </c>
      <c r="AL16" s="45">
        <f>P16+P50</f>
        <v>1</v>
      </c>
      <c r="AM16" s="45">
        <f>Q16+Q50</f>
        <v>537</v>
      </c>
      <c r="AN16" s="45">
        <f>R16+R50</f>
        <v>178</v>
      </c>
      <c r="AO16" s="45">
        <f>S16+S50</f>
        <v>715</v>
      </c>
      <c r="AP16" s="45">
        <f>T16+T50</f>
        <v>0</v>
      </c>
      <c r="AQ16" s="45">
        <f>U16+U50</f>
        <v>1201</v>
      </c>
      <c r="AR16" s="45">
        <f>V16+V50</f>
        <v>1750</v>
      </c>
    </row>
    <row r="17" spans="1:44" x14ac:dyDescent="0.3">
      <c r="A17" s="62" t="str">
        <f>'Day-2'!A17</f>
        <v>19:00-20:00</v>
      </c>
      <c r="B17" s="108">
        <v>112</v>
      </c>
      <c r="C17" s="140">
        <v>28</v>
      </c>
      <c r="D17" s="108">
        <v>22</v>
      </c>
      <c r="E17" s="108">
        <v>35</v>
      </c>
      <c r="F17" s="108">
        <v>21</v>
      </c>
      <c r="G17" s="108">
        <v>33</v>
      </c>
      <c r="H17" s="108">
        <v>64</v>
      </c>
      <c r="I17" s="108">
        <v>0</v>
      </c>
      <c r="J17" s="108">
        <v>170</v>
      </c>
      <c r="K17" s="108">
        <v>28</v>
      </c>
      <c r="L17" s="108">
        <v>0</v>
      </c>
      <c r="M17" s="108">
        <v>2</v>
      </c>
      <c r="N17" s="108">
        <v>0</v>
      </c>
      <c r="O17" s="108">
        <v>0</v>
      </c>
      <c r="P17" s="108">
        <v>0</v>
      </c>
      <c r="Q17" s="63">
        <f t="shared" si="0"/>
        <v>338</v>
      </c>
      <c r="R17" s="45">
        <f t="shared" si="1"/>
        <v>177</v>
      </c>
      <c r="S17" s="45">
        <f t="shared" si="2"/>
        <v>515</v>
      </c>
      <c r="T17" s="45">
        <f t="shared" si="3"/>
        <v>0</v>
      </c>
      <c r="U17" s="45">
        <f t="shared" si="4"/>
        <v>515</v>
      </c>
      <c r="V17" s="46">
        <f t="shared" si="5"/>
        <v>842.5</v>
      </c>
      <c r="W17" s="47" t="str">
        <f t="shared" si="6"/>
        <v>19:00-20:00</v>
      </c>
      <c r="X17" s="45">
        <f>B17+B51</f>
        <v>270</v>
      </c>
      <c r="Y17" s="45">
        <f>C17+C51</f>
        <v>52</v>
      </c>
      <c r="Z17" s="45">
        <f>D17+D51</f>
        <v>32</v>
      </c>
      <c r="AA17" s="45">
        <f>E17+E51</f>
        <v>66</v>
      </c>
      <c r="AB17" s="45">
        <f>F17+F51</f>
        <v>36</v>
      </c>
      <c r="AC17" s="45">
        <f>G17+G51</f>
        <v>50</v>
      </c>
      <c r="AD17" s="45">
        <f>H17+H51</f>
        <v>134</v>
      </c>
      <c r="AE17" s="45">
        <f>I17+I51</f>
        <v>0</v>
      </c>
      <c r="AF17" s="45">
        <f>J17+J51</f>
        <v>451</v>
      </c>
      <c r="AG17" s="45">
        <f>K17+K51</f>
        <v>54</v>
      </c>
      <c r="AH17" s="45">
        <f>L17+L51</f>
        <v>8</v>
      </c>
      <c r="AI17" s="45">
        <f>M17+M51</f>
        <v>2</v>
      </c>
      <c r="AJ17" s="45">
        <f>N17+N51</f>
        <v>0</v>
      </c>
      <c r="AK17" s="45">
        <f>O17+O51</f>
        <v>0</v>
      </c>
      <c r="AL17" s="45">
        <f>P17+P51</f>
        <v>0</v>
      </c>
      <c r="AM17" s="45">
        <f>Q17+Q51</f>
        <v>338</v>
      </c>
      <c r="AN17" s="45">
        <f>R17+R51</f>
        <v>179</v>
      </c>
      <c r="AO17" s="45">
        <f>S17+S51</f>
        <v>517</v>
      </c>
      <c r="AP17" s="45">
        <f>T17+T51</f>
        <v>0</v>
      </c>
      <c r="AQ17" s="45">
        <f>U17+U51</f>
        <v>1155</v>
      </c>
      <c r="AR17" s="45">
        <f>V17+V51</f>
        <v>1718.5</v>
      </c>
    </row>
    <row r="18" spans="1:44" x14ac:dyDescent="0.3">
      <c r="A18" s="62" t="str">
        <f>'Day-2'!A18</f>
        <v>20:00-21:00</v>
      </c>
      <c r="B18" s="108">
        <v>138</v>
      </c>
      <c r="C18" s="140">
        <v>27</v>
      </c>
      <c r="D18" s="108">
        <v>18</v>
      </c>
      <c r="E18" s="108">
        <v>33</v>
      </c>
      <c r="F18" s="108">
        <v>22</v>
      </c>
      <c r="G18" s="108">
        <v>25</v>
      </c>
      <c r="H18" s="108">
        <v>74</v>
      </c>
      <c r="I18" s="108">
        <v>0</v>
      </c>
      <c r="J18" s="108">
        <v>158</v>
      </c>
      <c r="K18" s="108">
        <v>11</v>
      </c>
      <c r="L18" s="108">
        <v>0</v>
      </c>
      <c r="M18" s="108">
        <v>7</v>
      </c>
      <c r="N18" s="108">
        <v>0</v>
      </c>
      <c r="O18" s="108">
        <v>0</v>
      </c>
      <c r="P18" s="108">
        <v>0</v>
      </c>
      <c r="Q18" s="63">
        <f t="shared" si="0"/>
        <v>334</v>
      </c>
      <c r="R18" s="45">
        <f t="shared" si="1"/>
        <v>179</v>
      </c>
      <c r="S18" s="45">
        <f t="shared" si="2"/>
        <v>513</v>
      </c>
      <c r="T18" s="45">
        <f t="shared" si="3"/>
        <v>0</v>
      </c>
      <c r="U18" s="45">
        <f t="shared" si="4"/>
        <v>513</v>
      </c>
      <c r="V18" s="46">
        <f t="shared" si="5"/>
        <v>882</v>
      </c>
      <c r="W18" s="47" t="str">
        <f t="shared" si="6"/>
        <v>20:00-21:00</v>
      </c>
      <c r="X18" s="45">
        <f>B18+B52</f>
        <v>364</v>
      </c>
      <c r="Y18" s="45">
        <f>C18+C52</f>
        <v>56</v>
      </c>
      <c r="Z18" s="45">
        <f>D18+D52</f>
        <v>42</v>
      </c>
      <c r="AA18" s="45">
        <f>E18+E52</f>
        <v>66</v>
      </c>
      <c r="AB18" s="45">
        <f>F18+F52</f>
        <v>48</v>
      </c>
      <c r="AC18" s="45">
        <f>G18+G52</f>
        <v>49</v>
      </c>
      <c r="AD18" s="45">
        <f>H18+H52</f>
        <v>150</v>
      </c>
      <c r="AE18" s="45">
        <f>I18+I52</f>
        <v>0</v>
      </c>
      <c r="AF18" s="45">
        <f>J18+J52</f>
        <v>402</v>
      </c>
      <c r="AG18" s="45">
        <f>K18+K52</f>
        <v>35</v>
      </c>
      <c r="AH18" s="45">
        <f>L18+L52</f>
        <v>4</v>
      </c>
      <c r="AI18" s="45">
        <f>M18+M52</f>
        <v>7</v>
      </c>
      <c r="AJ18" s="45">
        <f>N18+N52</f>
        <v>0</v>
      </c>
      <c r="AK18" s="45">
        <f>O18+O52</f>
        <v>0</v>
      </c>
      <c r="AL18" s="45">
        <f>P18+P52</f>
        <v>0</v>
      </c>
      <c r="AM18" s="45">
        <f>Q18+Q52</f>
        <v>334</v>
      </c>
      <c r="AN18" s="45">
        <f>R18+R52</f>
        <v>179</v>
      </c>
      <c r="AO18" s="45">
        <f>S18+S52</f>
        <v>513</v>
      </c>
      <c r="AP18" s="45">
        <f>T18+T52</f>
        <v>0</v>
      </c>
      <c r="AQ18" s="45">
        <f>U18+U52</f>
        <v>1223</v>
      </c>
      <c r="AR18" s="45">
        <f>V18+V52</f>
        <v>1912.5</v>
      </c>
    </row>
    <row r="19" spans="1:44" x14ac:dyDescent="0.3">
      <c r="A19" s="62" t="str">
        <f>'Day-2'!A19</f>
        <v>21:00-22:00</v>
      </c>
      <c r="B19" s="108">
        <v>82</v>
      </c>
      <c r="C19" s="142">
        <v>25</v>
      </c>
      <c r="D19" s="108">
        <v>24</v>
      </c>
      <c r="E19" s="108">
        <v>28</v>
      </c>
      <c r="F19" s="108">
        <v>15</v>
      </c>
      <c r="G19" s="108">
        <v>31</v>
      </c>
      <c r="H19" s="108">
        <v>71</v>
      </c>
      <c r="I19" s="108">
        <v>0</v>
      </c>
      <c r="J19" s="108">
        <v>87</v>
      </c>
      <c r="K19" s="108">
        <v>11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66">
        <f t="shared" si="0"/>
        <v>205</v>
      </c>
      <c r="R19" s="59">
        <f t="shared" si="1"/>
        <v>169</v>
      </c>
      <c r="S19" s="59">
        <f t="shared" si="2"/>
        <v>374</v>
      </c>
      <c r="T19" s="59">
        <f t="shared" si="3"/>
        <v>0</v>
      </c>
      <c r="U19" s="59">
        <f t="shared" si="4"/>
        <v>374</v>
      </c>
      <c r="V19" s="60">
        <f t="shared" si="5"/>
        <v>735</v>
      </c>
      <c r="W19" s="47" t="str">
        <f t="shared" si="6"/>
        <v>21:00-22:00</v>
      </c>
      <c r="X19" s="45">
        <f>B19+B53</f>
        <v>227</v>
      </c>
      <c r="Y19" s="45">
        <f>C19+C53</f>
        <v>43</v>
      </c>
      <c r="Z19" s="45">
        <f>D19+D53</f>
        <v>43</v>
      </c>
      <c r="AA19" s="45">
        <f>E19+E53</f>
        <v>45</v>
      </c>
      <c r="AB19" s="45">
        <f>F19+F53</f>
        <v>28</v>
      </c>
      <c r="AC19" s="45">
        <f>G19+G53</f>
        <v>43</v>
      </c>
      <c r="AD19" s="45">
        <f>H19+H53</f>
        <v>155</v>
      </c>
      <c r="AE19" s="45">
        <f>I19+I53</f>
        <v>0</v>
      </c>
      <c r="AF19" s="45">
        <f>J19+J53</f>
        <v>261</v>
      </c>
      <c r="AG19" s="45">
        <f>K19+K53</f>
        <v>21</v>
      </c>
      <c r="AH19" s="45">
        <f>L19+L53</f>
        <v>2</v>
      </c>
      <c r="AI19" s="45">
        <f>M19+M53</f>
        <v>3</v>
      </c>
      <c r="AJ19" s="45">
        <f>N19+N53</f>
        <v>0</v>
      </c>
      <c r="AK19" s="45">
        <f>O19+O53</f>
        <v>0</v>
      </c>
      <c r="AL19" s="45">
        <f>P19+P53</f>
        <v>0</v>
      </c>
      <c r="AM19" s="45">
        <f>Q19+Q53</f>
        <v>205</v>
      </c>
      <c r="AN19" s="45">
        <f>R19+R53</f>
        <v>169</v>
      </c>
      <c r="AO19" s="45">
        <f>S19+S53</f>
        <v>374</v>
      </c>
      <c r="AP19" s="45">
        <f>T19+T53</f>
        <v>0</v>
      </c>
      <c r="AQ19" s="45">
        <f>U19+U53</f>
        <v>871</v>
      </c>
      <c r="AR19" s="45">
        <f>V19+V53</f>
        <v>1545</v>
      </c>
    </row>
    <row r="20" spans="1:44" x14ac:dyDescent="0.3">
      <c r="A20" s="62" t="str">
        <f>'Day-2'!A20</f>
        <v>22:00-23:00</v>
      </c>
      <c r="B20" s="108">
        <v>32</v>
      </c>
      <c r="C20" s="140">
        <v>21</v>
      </c>
      <c r="D20" s="108">
        <v>14</v>
      </c>
      <c r="E20" s="108">
        <v>29</v>
      </c>
      <c r="F20" s="108">
        <v>11</v>
      </c>
      <c r="G20" s="108">
        <v>22</v>
      </c>
      <c r="H20" s="108">
        <v>57</v>
      </c>
      <c r="I20" s="108">
        <v>0</v>
      </c>
      <c r="J20" s="108">
        <v>66</v>
      </c>
      <c r="K20" s="108">
        <v>9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66">
        <f t="shared" si="0"/>
        <v>128</v>
      </c>
      <c r="R20" s="59">
        <f t="shared" si="1"/>
        <v>133</v>
      </c>
      <c r="S20" s="59">
        <f t="shared" si="2"/>
        <v>261</v>
      </c>
      <c r="T20" s="59">
        <f t="shared" si="3"/>
        <v>0</v>
      </c>
      <c r="U20" s="59">
        <f t="shared" si="4"/>
        <v>261</v>
      </c>
      <c r="V20" s="60">
        <f t="shared" si="5"/>
        <v>550</v>
      </c>
      <c r="W20" s="47" t="str">
        <f t="shared" si="6"/>
        <v>22:00-23:00</v>
      </c>
      <c r="X20" s="45">
        <f>B20+B54</f>
        <v>118</v>
      </c>
      <c r="Y20" s="45">
        <f>C20+C54</f>
        <v>30</v>
      </c>
      <c r="Z20" s="45">
        <f>D20+D54</f>
        <v>42</v>
      </c>
      <c r="AA20" s="45">
        <f>E20+E54</f>
        <v>51</v>
      </c>
      <c r="AB20" s="45">
        <f>F20+F54</f>
        <v>54</v>
      </c>
      <c r="AC20" s="45">
        <f>G20+G54</f>
        <v>44</v>
      </c>
      <c r="AD20" s="45">
        <f>H20+H54</f>
        <v>122</v>
      </c>
      <c r="AE20" s="45">
        <f>I20+I54</f>
        <v>0</v>
      </c>
      <c r="AF20" s="45">
        <f>J20+J54</f>
        <v>160</v>
      </c>
      <c r="AG20" s="45">
        <f>K20+K54</f>
        <v>16</v>
      </c>
      <c r="AH20" s="45">
        <f>L20+L54</f>
        <v>0</v>
      </c>
      <c r="AI20" s="45">
        <f>M20+M54</f>
        <v>4</v>
      </c>
      <c r="AJ20" s="45">
        <f>N20+N54</f>
        <v>0</v>
      </c>
      <c r="AK20" s="45">
        <f>O20+O54</f>
        <v>0</v>
      </c>
      <c r="AL20" s="45">
        <f>P20+P54</f>
        <v>0</v>
      </c>
      <c r="AM20" s="45">
        <f>Q20+Q54</f>
        <v>128</v>
      </c>
      <c r="AN20" s="45">
        <f>R20+R54</f>
        <v>133</v>
      </c>
      <c r="AO20" s="45">
        <f>S20+S54</f>
        <v>261</v>
      </c>
      <c r="AP20" s="45">
        <f>T20+T54</f>
        <v>0</v>
      </c>
      <c r="AQ20" s="45">
        <f>U20+U54</f>
        <v>641</v>
      </c>
      <c r="AR20" s="45">
        <f>V20+V54</f>
        <v>1283.5</v>
      </c>
    </row>
    <row r="21" spans="1:44" x14ac:dyDescent="0.3">
      <c r="A21" s="62" t="str">
        <f>'Day-2'!A21</f>
        <v>23:00-00:00</v>
      </c>
      <c r="B21" s="108">
        <v>38</v>
      </c>
      <c r="C21" s="140">
        <v>11</v>
      </c>
      <c r="D21" s="108">
        <v>12</v>
      </c>
      <c r="E21" s="108">
        <v>21</v>
      </c>
      <c r="F21" s="108">
        <v>6</v>
      </c>
      <c r="G21" s="108">
        <v>24</v>
      </c>
      <c r="H21" s="108">
        <v>69</v>
      </c>
      <c r="I21" s="108">
        <v>0</v>
      </c>
      <c r="J21" s="108">
        <v>28</v>
      </c>
      <c r="K21" s="108">
        <v>4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66">
        <f t="shared" si="0"/>
        <v>81</v>
      </c>
      <c r="R21" s="59">
        <f t="shared" si="1"/>
        <v>132</v>
      </c>
      <c r="S21" s="59">
        <f t="shared" si="2"/>
        <v>213</v>
      </c>
      <c r="T21" s="59">
        <f t="shared" si="3"/>
        <v>0</v>
      </c>
      <c r="U21" s="59">
        <f t="shared" si="4"/>
        <v>213</v>
      </c>
      <c r="V21" s="60">
        <f t="shared" si="5"/>
        <v>533</v>
      </c>
      <c r="W21" s="47" t="str">
        <f t="shared" si="6"/>
        <v>23:00-00:00</v>
      </c>
      <c r="X21" s="45">
        <f>B21+B55</f>
        <v>101</v>
      </c>
      <c r="Y21" s="45">
        <f>C21+C55</f>
        <v>15</v>
      </c>
      <c r="Z21" s="45">
        <f>D21+D55</f>
        <v>23</v>
      </c>
      <c r="AA21" s="45">
        <f>E21+E55</f>
        <v>34</v>
      </c>
      <c r="AB21" s="45">
        <f>F21+F55</f>
        <v>18</v>
      </c>
      <c r="AC21" s="45">
        <f>G21+G55</f>
        <v>46</v>
      </c>
      <c r="AD21" s="45">
        <f>H21+H55</f>
        <v>134</v>
      </c>
      <c r="AE21" s="45">
        <f>I21+I55</f>
        <v>0</v>
      </c>
      <c r="AF21" s="45">
        <f>J21+J55</f>
        <v>74</v>
      </c>
      <c r="AG21" s="45">
        <f>K21+K55</f>
        <v>4</v>
      </c>
      <c r="AH21" s="45">
        <f>L21+L55</f>
        <v>0</v>
      </c>
      <c r="AI21" s="45">
        <f>M21+M55</f>
        <v>2</v>
      </c>
      <c r="AJ21" s="45">
        <f>N21+N55</f>
        <v>0</v>
      </c>
      <c r="AK21" s="45">
        <f>O21+O55</f>
        <v>0</v>
      </c>
      <c r="AL21" s="45">
        <f>P21+P55</f>
        <v>0</v>
      </c>
      <c r="AM21" s="45">
        <f>Q21+Q55</f>
        <v>81</v>
      </c>
      <c r="AN21" s="45">
        <f>R21+R55</f>
        <v>134</v>
      </c>
      <c r="AO21" s="45">
        <f>S21+S55</f>
        <v>215</v>
      </c>
      <c r="AP21" s="45">
        <f>T21+T55</f>
        <v>0</v>
      </c>
      <c r="AQ21" s="45">
        <f>U21+U55</f>
        <v>451</v>
      </c>
      <c r="AR21" s="45">
        <f>V21+V55</f>
        <v>1065</v>
      </c>
    </row>
    <row r="22" spans="1:44" x14ac:dyDescent="0.3">
      <c r="A22" s="62" t="str">
        <f>'Day-2'!A22</f>
        <v>00:00-01:00</v>
      </c>
      <c r="B22" s="108">
        <v>18</v>
      </c>
      <c r="C22" s="140">
        <v>5</v>
      </c>
      <c r="D22" s="108">
        <v>16</v>
      </c>
      <c r="E22" s="108">
        <v>29</v>
      </c>
      <c r="F22" s="108">
        <v>6</v>
      </c>
      <c r="G22" s="108">
        <v>24</v>
      </c>
      <c r="H22" s="108">
        <v>94</v>
      </c>
      <c r="I22" s="108">
        <v>0</v>
      </c>
      <c r="J22" s="108">
        <v>12</v>
      </c>
      <c r="K22" s="108">
        <v>4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66">
        <f t="shared" si="0"/>
        <v>39</v>
      </c>
      <c r="R22" s="59">
        <f t="shared" si="1"/>
        <v>169</v>
      </c>
      <c r="S22" s="59">
        <f t="shared" si="2"/>
        <v>208</v>
      </c>
      <c r="T22" s="59">
        <f t="shared" si="3"/>
        <v>0</v>
      </c>
      <c r="U22" s="59">
        <f t="shared" si="4"/>
        <v>208</v>
      </c>
      <c r="V22" s="60">
        <f t="shared" si="5"/>
        <v>615.5</v>
      </c>
      <c r="W22" s="47" t="str">
        <f t="shared" si="6"/>
        <v>00:00-01:00</v>
      </c>
      <c r="X22" s="45">
        <f>B22+B56</f>
        <v>47</v>
      </c>
      <c r="Y22" s="45">
        <f>C22+C56</f>
        <v>11</v>
      </c>
      <c r="Z22" s="45">
        <f>D22+D56</f>
        <v>30</v>
      </c>
      <c r="AA22" s="45">
        <f>E22+E56</f>
        <v>42</v>
      </c>
      <c r="AB22" s="45">
        <f>F22+F56</f>
        <v>20</v>
      </c>
      <c r="AC22" s="45">
        <f>G22+G56</f>
        <v>49</v>
      </c>
      <c r="AD22" s="45">
        <f>H22+H56</f>
        <v>175</v>
      </c>
      <c r="AE22" s="45">
        <f>I22+I56</f>
        <v>0</v>
      </c>
      <c r="AF22" s="45">
        <f>J22+J56</f>
        <v>33</v>
      </c>
      <c r="AG22" s="45">
        <f>K22+K56</f>
        <v>6</v>
      </c>
      <c r="AH22" s="45">
        <f>L22+L56</f>
        <v>0</v>
      </c>
      <c r="AI22" s="45">
        <f>M22+M56</f>
        <v>0</v>
      </c>
      <c r="AJ22" s="45">
        <f>N22+N56</f>
        <v>0</v>
      </c>
      <c r="AK22" s="45">
        <f>O22+O56</f>
        <v>0</v>
      </c>
      <c r="AL22" s="45">
        <f>P22+P56</f>
        <v>0</v>
      </c>
      <c r="AM22" s="45">
        <f>Q22+Q56</f>
        <v>39</v>
      </c>
      <c r="AN22" s="45">
        <f>R22+R56</f>
        <v>171</v>
      </c>
      <c r="AO22" s="45">
        <f>S22+S56</f>
        <v>210</v>
      </c>
      <c r="AP22" s="45">
        <f>T22+T56</f>
        <v>0</v>
      </c>
      <c r="AQ22" s="45">
        <f>U22+U56</f>
        <v>413</v>
      </c>
      <c r="AR22" s="45">
        <f>V22+V56</f>
        <v>1190</v>
      </c>
    </row>
    <row r="23" spans="1:44" x14ac:dyDescent="0.3">
      <c r="A23" s="62" t="str">
        <f>'Day-2'!A23</f>
        <v>01:00-02:00</v>
      </c>
      <c r="B23" s="108">
        <v>7</v>
      </c>
      <c r="C23" s="140">
        <v>0</v>
      </c>
      <c r="D23" s="108">
        <v>11</v>
      </c>
      <c r="E23" s="108">
        <v>19</v>
      </c>
      <c r="F23" s="108">
        <v>12</v>
      </c>
      <c r="G23" s="108">
        <v>29</v>
      </c>
      <c r="H23" s="108">
        <v>72</v>
      </c>
      <c r="I23" s="108">
        <v>0</v>
      </c>
      <c r="J23" s="108">
        <v>7</v>
      </c>
      <c r="K23" s="108">
        <v>4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0"/>
        <v>18</v>
      </c>
      <c r="R23" s="59">
        <f t="shared" si="1"/>
        <v>143</v>
      </c>
      <c r="S23" s="59">
        <f t="shared" si="2"/>
        <v>161</v>
      </c>
      <c r="T23" s="59">
        <f t="shared" si="3"/>
        <v>0</v>
      </c>
      <c r="U23" s="59">
        <f t="shared" si="4"/>
        <v>161</v>
      </c>
      <c r="V23" s="60">
        <f t="shared" si="5"/>
        <v>501</v>
      </c>
      <c r="W23" s="47" t="str">
        <f t="shared" si="6"/>
        <v>01:00-02:00</v>
      </c>
      <c r="X23" s="45">
        <f>B23+B57</f>
        <v>15</v>
      </c>
      <c r="Y23" s="45">
        <f>C23+C57</f>
        <v>4</v>
      </c>
      <c r="Z23" s="45">
        <f>D23+D57</f>
        <v>20</v>
      </c>
      <c r="AA23" s="45">
        <f>E23+E57</f>
        <v>36</v>
      </c>
      <c r="AB23" s="45">
        <f>F23+F57</f>
        <v>22</v>
      </c>
      <c r="AC23" s="45">
        <f>G23+G57</f>
        <v>54</v>
      </c>
      <c r="AD23" s="45">
        <f>H23+H57</f>
        <v>163</v>
      </c>
      <c r="AE23" s="45">
        <f>I23+I57</f>
        <v>0</v>
      </c>
      <c r="AF23" s="45">
        <f>J23+J57</f>
        <v>16</v>
      </c>
      <c r="AG23" s="45">
        <f>K23+K57</f>
        <v>4</v>
      </c>
      <c r="AH23" s="45">
        <f>L23+L57</f>
        <v>0</v>
      </c>
      <c r="AI23" s="45">
        <f>M23+M57</f>
        <v>0</v>
      </c>
      <c r="AJ23" s="45">
        <f>N23+N57</f>
        <v>0</v>
      </c>
      <c r="AK23" s="45">
        <f>O23+O57</f>
        <v>0</v>
      </c>
      <c r="AL23" s="45">
        <f>P23+P57</f>
        <v>0</v>
      </c>
      <c r="AM23" s="45">
        <f>Q23+Q57</f>
        <v>18</v>
      </c>
      <c r="AN23" s="45">
        <f>R23+R57</f>
        <v>143</v>
      </c>
      <c r="AO23" s="45">
        <f>S23+S57</f>
        <v>161</v>
      </c>
      <c r="AP23" s="45">
        <f>T23+T57</f>
        <v>0</v>
      </c>
      <c r="AQ23" s="45">
        <f>U23+U57</f>
        <v>334</v>
      </c>
      <c r="AR23" s="45">
        <f>V23+V57</f>
        <v>1074.5</v>
      </c>
    </row>
    <row r="24" spans="1:44" x14ac:dyDescent="0.3">
      <c r="A24" s="62" t="str">
        <f>'Day-2'!A24</f>
        <v>02:00-03:00</v>
      </c>
      <c r="B24" s="108">
        <v>15</v>
      </c>
      <c r="C24" s="140">
        <v>2</v>
      </c>
      <c r="D24" s="108">
        <v>10</v>
      </c>
      <c r="E24" s="108">
        <v>19</v>
      </c>
      <c r="F24" s="108">
        <v>13</v>
      </c>
      <c r="G24" s="108">
        <v>16</v>
      </c>
      <c r="H24" s="108">
        <v>74</v>
      </c>
      <c r="I24" s="108">
        <v>0</v>
      </c>
      <c r="J24" s="108">
        <v>9</v>
      </c>
      <c r="K24" s="108">
        <v>4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0"/>
        <v>30</v>
      </c>
      <c r="R24" s="59">
        <f t="shared" si="1"/>
        <v>132</v>
      </c>
      <c r="S24" s="59">
        <f t="shared" si="2"/>
        <v>162</v>
      </c>
      <c r="T24" s="59">
        <f t="shared" si="3"/>
        <v>0</v>
      </c>
      <c r="U24" s="59">
        <f t="shared" si="4"/>
        <v>162</v>
      </c>
      <c r="V24" s="60">
        <f t="shared" si="5"/>
        <v>488</v>
      </c>
      <c r="W24" s="47" t="str">
        <f t="shared" si="6"/>
        <v>02:00-03:00</v>
      </c>
      <c r="X24" s="45">
        <f>B24+B58</f>
        <v>31</v>
      </c>
      <c r="Y24" s="45">
        <f>C24+C58</f>
        <v>6</v>
      </c>
      <c r="Z24" s="45">
        <f>D24+D58</f>
        <v>19</v>
      </c>
      <c r="AA24" s="45">
        <f>E24+E58</f>
        <v>33</v>
      </c>
      <c r="AB24" s="45">
        <f>F24+F58</f>
        <v>28</v>
      </c>
      <c r="AC24" s="45">
        <f>G24+G58</f>
        <v>39</v>
      </c>
      <c r="AD24" s="45">
        <f>H24+H58</f>
        <v>134</v>
      </c>
      <c r="AE24" s="45">
        <f>I24+I58</f>
        <v>0</v>
      </c>
      <c r="AF24" s="45">
        <f>J24+J58</f>
        <v>17</v>
      </c>
      <c r="AG24" s="45">
        <f>K24+K58</f>
        <v>4</v>
      </c>
      <c r="AH24" s="45">
        <f>L24+L58</f>
        <v>0</v>
      </c>
      <c r="AI24" s="45">
        <f>M24+M58</f>
        <v>0</v>
      </c>
      <c r="AJ24" s="45">
        <f>N24+N58</f>
        <v>0</v>
      </c>
      <c r="AK24" s="45">
        <f>O24+O58</f>
        <v>0</v>
      </c>
      <c r="AL24" s="45">
        <f>P24+P58</f>
        <v>0</v>
      </c>
      <c r="AM24" s="45">
        <f>Q24+Q58</f>
        <v>30</v>
      </c>
      <c r="AN24" s="45">
        <f>R24+R58</f>
        <v>134</v>
      </c>
      <c r="AO24" s="45">
        <f>S24+S58</f>
        <v>164</v>
      </c>
      <c r="AP24" s="45">
        <f>T24+T58</f>
        <v>0</v>
      </c>
      <c r="AQ24" s="45">
        <f>U24+U58</f>
        <v>311</v>
      </c>
      <c r="AR24" s="45">
        <f>V24+V58</f>
        <v>934</v>
      </c>
    </row>
    <row r="25" spans="1:44" x14ac:dyDescent="0.3">
      <c r="A25" s="62" t="str">
        <f>'Day-2'!A25</f>
        <v>03:00-04:00</v>
      </c>
      <c r="B25" s="108">
        <v>13</v>
      </c>
      <c r="C25" s="140">
        <v>4</v>
      </c>
      <c r="D25" s="108">
        <v>16</v>
      </c>
      <c r="E25" s="108">
        <v>21</v>
      </c>
      <c r="F25" s="108">
        <v>7</v>
      </c>
      <c r="G25" s="108">
        <v>21</v>
      </c>
      <c r="H25" s="108">
        <v>87</v>
      </c>
      <c r="I25" s="108">
        <v>0</v>
      </c>
      <c r="J25" s="108">
        <v>10</v>
      </c>
      <c r="K25" s="108">
        <v>6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0"/>
        <v>33</v>
      </c>
      <c r="R25" s="59">
        <f t="shared" si="1"/>
        <v>152</v>
      </c>
      <c r="S25" s="59">
        <f t="shared" si="2"/>
        <v>185</v>
      </c>
      <c r="T25" s="59">
        <f t="shared" si="3"/>
        <v>0</v>
      </c>
      <c r="U25" s="59">
        <f t="shared" si="4"/>
        <v>185</v>
      </c>
      <c r="V25" s="60">
        <f t="shared" si="5"/>
        <v>559</v>
      </c>
      <c r="W25" s="47" t="str">
        <f t="shared" si="6"/>
        <v>03:00-04:00</v>
      </c>
      <c r="X25" s="45">
        <f>B25+B59</f>
        <v>19</v>
      </c>
      <c r="Y25" s="45">
        <f>C25+C59</f>
        <v>14</v>
      </c>
      <c r="Z25" s="45">
        <f>D25+D59</f>
        <v>25</v>
      </c>
      <c r="AA25" s="45">
        <f>E25+E59</f>
        <v>31</v>
      </c>
      <c r="AB25" s="45">
        <f>F25+F59</f>
        <v>20</v>
      </c>
      <c r="AC25" s="45">
        <f>G25+G59</f>
        <v>34</v>
      </c>
      <c r="AD25" s="45">
        <f>H25+H59</f>
        <v>153</v>
      </c>
      <c r="AE25" s="45">
        <f>I25+I59</f>
        <v>0</v>
      </c>
      <c r="AF25" s="45">
        <f>J25+J59</f>
        <v>18</v>
      </c>
      <c r="AG25" s="45">
        <f>K25+K59</f>
        <v>6</v>
      </c>
      <c r="AH25" s="45">
        <f>L25+L59</f>
        <v>0</v>
      </c>
      <c r="AI25" s="45">
        <f>M25+M59</f>
        <v>0</v>
      </c>
      <c r="AJ25" s="45">
        <f>N25+N59</f>
        <v>0</v>
      </c>
      <c r="AK25" s="45">
        <f>O25+O59</f>
        <v>0</v>
      </c>
      <c r="AL25" s="45">
        <f>P25+P59</f>
        <v>0</v>
      </c>
      <c r="AM25" s="45">
        <f>Q25+Q59</f>
        <v>33</v>
      </c>
      <c r="AN25" s="45">
        <f>R25+R59</f>
        <v>152</v>
      </c>
      <c r="AO25" s="45">
        <f>S25+S59</f>
        <v>185</v>
      </c>
      <c r="AP25" s="45">
        <f>T25+T59</f>
        <v>0</v>
      </c>
      <c r="AQ25" s="45">
        <f>U25+U59</f>
        <v>320</v>
      </c>
      <c r="AR25" s="45">
        <f>V25+V59</f>
        <v>998</v>
      </c>
    </row>
    <row r="26" spans="1:44" x14ac:dyDescent="0.3">
      <c r="A26" s="62" t="str">
        <f>'Day-2'!A26</f>
        <v>04:00-05:00</v>
      </c>
      <c r="B26" s="108">
        <v>25</v>
      </c>
      <c r="C26" s="140">
        <v>0</v>
      </c>
      <c r="D26" s="108">
        <v>12</v>
      </c>
      <c r="E26" s="108">
        <v>14</v>
      </c>
      <c r="F26" s="108">
        <v>5</v>
      </c>
      <c r="G26" s="108">
        <v>32</v>
      </c>
      <c r="H26" s="108">
        <v>60</v>
      </c>
      <c r="I26" s="108">
        <v>0</v>
      </c>
      <c r="J26" s="108">
        <v>26</v>
      </c>
      <c r="K26" s="108">
        <v>6</v>
      </c>
      <c r="L26" s="108">
        <v>0</v>
      </c>
      <c r="M26" s="108">
        <v>4</v>
      </c>
      <c r="N26" s="108">
        <v>0</v>
      </c>
      <c r="O26" s="108">
        <v>0</v>
      </c>
      <c r="P26" s="108">
        <v>0</v>
      </c>
      <c r="Q26" s="66">
        <f t="shared" si="0"/>
        <v>57</v>
      </c>
      <c r="R26" s="59">
        <f t="shared" si="1"/>
        <v>127</v>
      </c>
      <c r="S26" s="59">
        <f t="shared" si="2"/>
        <v>184</v>
      </c>
      <c r="T26" s="59">
        <f t="shared" si="3"/>
        <v>0</v>
      </c>
      <c r="U26" s="59">
        <f t="shared" si="4"/>
        <v>184</v>
      </c>
      <c r="V26" s="60">
        <f t="shared" si="5"/>
        <v>476</v>
      </c>
      <c r="W26" s="47" t="str">
        <f t="shared" si="6"/>
        <v>04:00-05:00</v>
      </c>
      <c r="X26" s="45">
        <f>B26+B60</f>
        <v>41</v>
      </c>
      <c r="Y26" s="45">
        <f>C26+C60</f>
        <v>12</v>
      </c>
      <c r="Z26" s="45">
        <f>D26+D60</f>
        <v>21</v>
      </c>
      <c r="AA26" s="45">
        <f>E26+E60</f>
        <v>31</v>
      </c>
      <c r="AB26" s="45">
        <f>F26+F60</f>
        <v>26</v>
      </c>
      <c r="AC26" s="45">
        <f>G26+G60</f>
        <v>47</v>
      </c>
      <c r="AD26" s="45">
        <f>H26+H60</f>
        <v>119</v>
      </c>
      <c r="AE26" s="45">
        <f>I26+I60</f>
        <v>0</v>
      </c>
      <c r="AF26" s="45">
        <f>J26+J60</f>
        <v>53</v>
      </c>
      <c r="AG26" s="45">
        <f>K26+K60</f>
        <v>14</v>
      </c>
      <c r="AH26" s="45">
        <f>L26+L60</f>
        <v>0</v>
      </c>
      <c r="AI26" s="45">
        <f>M26+M60</f>
        <v>4</v>
      </c>
      <c r="AJ26" s="45">
        <f>N26+N60</f>
        <v>0</v>
      </c>
      <c r="AK26" s="45">
        <f>O26+O60</f>
        <v>0</v>
      </c>
      <c r="AL26" s="45">
        <f>P26+P60</f>
        <v>0</v>
      </c>
      <c r="AM26" s="45">
        <f>Q26+Q60</f>
        <v>58</v>
      </c>
      <c r="AN26" s="45">
        <f>R26+R60</f>
        <v>127</v>
      </c>
      <c r="AO26" s="45">
        <f>S26+S60</f>
        <v>185</v>
      </c>
      <c r="AP26" s="45">
        <f>T26+T60</f>
        <v>0</v>
      </c>
      <c r="AQ26" s="45">
        <f>U26+U60</f>
        <v>368</v>
      </c>
      <c r="AR26" s="45">
        <f>V26+V60</f>
        <v>957.5</v>
      </c>
    </row>
    <row r="27" spans="1:44" x14ac:dyDescent="0.3">
      <c r="A27" s="62" t="str">
        <f>'Day-2'!A27</f>
        <v>05:00-06:00</v>
      </c>
      <c r="B27" s="108">
        <v>33</v>
      </c>
      <c r="C27" s="140">
        <v>4</v>
      </c>
      <c r="D27" s="108">
        <v>17</v>
      </c>
      <c r="E27" s="108">
        <v>17</v>
      </c>
      <c r="F27" s="108">
        <v>6</v>
      </c>
      <c r="G27" s="108">
        <v>7</v>
      </c>
      <c r="H27" s="108">
        <v>59</v>
      </c>
      <c r="I27" s="108">
        <v>0</v>
      </c>
      <c r="J27" s="108">
        <v>85</v>
      </c>
      <c r="K27" s="108">
        <v>22</v>
      </c>
      <c r="L27" s="108">
        <v>0</v>
      </c>
      <c r="M27" s="108">
        <v>3</v>
      </c>
      <c r="N27" s="108">
        <v>0</v>
      </c>
      <c r="O27" s="108">
        <v>0</v>
      </c>
      <c r="P27" s="108">
        <v>0</v>
      </c>
      <c r="Q27" s="66">
        <f t="shared" si="0"/>
        <v>144</v>
      </c>
      <c r="R27" s="59">
        <f t="shared" si="1"/>
        <v>109</v>
      </c>
      <c r="S27" s="59">
        <f t="shared" si="2"/>
        <v>253</v>
      </c>
      <c r="T27" s="59">
        <f t="shared" si="3"/>
        <v>0</v>
      </c>
      <c r="U27" s="59">
        <f t="shared" si="4"/>
        <v>253</v>
      </c>
      <c r="V27" s="60">
        <f t="shared" si="5"/>
        <v>470</v>
      </c>
      <c r="W27" s="47" t="str">
        <f t="shared" si="6"/>
        <v>05:00-06:00</v>
      </c>
      <c r="X27" s="45">
        <f>B27+B61</f>
        <v>57</v>
      </c>
      <c r="Y27" s="45">
        <f>C27+C61</f>
        <v>25</v>
      </c>
      <c r="Z27" s="45">
        <f>D27+D61</f>
        <v>26</v>
      </c>
      <c r="AA27" s="45">
        <f>E27+E61</f>
        <v>40</v>
      </c>
      <c r="AB27" s="45">
        <f>F27+F61</f>
        <v>22</v>
      </c>
      <c r="AC27" s="45">
        <f>G27+G61</f>
        <v>40</v>
      </c>
      <c r="AD27" s="45">
        <f>H27+H61</f>
        <v>151</v>
      </c>
      <c r="AE27" s="45">
        <f>I27+I61</f>
        <v>0</v>
      </c>
      <c r="AF27" s="45">
        <f>J27+J61</f>
        <v>170</v>
      </c>
      <c r="AG27" s="45">
        <f>K27+K61</f>
        <v>35</v>
      </c>
      <c r="AH27" s="45">
        <f>L27+L61</f>
        <v>0</v>
      </c>
      <c r="AI27" s="45">
        <f>M27+M61</f>
        <v>3</v>
      </c>
      <c r="AJ27" s="45">
        <f>N27+N61</f>
        <v>2</v>
      </c>
      <c r="AK27" s="45">
        <f>O27+O61</f>
        <v>0</v>
      </c>
      <c r="AL27" s="45">
        <f>P27+P61</f>
        <v>0</v>
      </c>
      <c r="AM27" s="45">
        <f>Q27+Q61</f>
        <v>145</v>
      </c>
      <c r="AN27" s="45">
        <f>R27+R61</f>
        <v>110</v>
      </c>
      <c r="AO27" s="45">
        <f>S27+S61</f>
        <v>255</v>
      </c>
      <c r="AP27" s="45">
        <f>T27+T61</f>
        <v>2</v>
      </c>
      <c r="AQ27" s="45">
        <f>U27+U61</f>
        <v>571</v>
      </c>
      <c r="AR27" s="45">
        <f>V27+V61</f>
        <v>1218</v>
      </c>
    </row>
    <row r="28" spans="1:44" x14ac:dyDescent="0.3">
      <c r="A28" s="62" t="str">
        <f>'Day-2'!A28</f>
        <v>06:00-07:00</v>
      </c>
      <c r="B28" s="108">
        <v>70</v>
      </c>
      <c r="C28" s="140">
        <v>17</v>
      </c>
      <c r="D28" s="108">
        <v>12</v>
      </c>
      <c r="E28" s="108">
        <v>12</v>
      </c>
      <c r="F28" s="108">
        <v>15</v>
      </c>
      <c r="G28" s="108">
        <v>23</v>
      </c>
      <c r="H28" s="108">
        <v>54</v>
      </c>
      <c r="I28" s="108">
        <v>0</v>
      </c>
      <c r="J28" s="108">
        <v>217</v>
      </c>
      <c r="K28" s="108">
        <v>21</v>
      </c>
      <c r="L28" s="108">
        <v>0</v>
      </c>
      <c r="M28" s="108">
        <v>3</v>
      </c>
      <c r="N28" s="108">
        <v>0</v>
      </c>
      <c r="O28" s="108">
        <v>3</v>
      </c>
      <c r="P28" s="108">
        <v>0</v>
      </c>
      <c r="Q28" s="66">
        <f t="shared" si="0"/>
        <v>328</v>
      </c>
      <c r="R28" s="59">
        <f t="shared" si="1"/>
        <v>119</v>
      </c>
      <c r="S28" s="59">
        <f t="shared" si="2"/>
        <v>447</v>
      </c>
      <c r="T28" s="59">
        <f t="shared" si="3"/>
        <v>3</v>
      </c>
      <c r="U28" s="59">
        <f t="shared" si="4"/>
        <v>447</v>
      </c>
      <c r="V28" s="60">
        <f t="shared" si="5"/>
        <v>657</v>
      </c>
      <c r="W28" s="47" t="str">
        <f t="shared" si="6"/>
        <v>06:00-07:00</v>
      </c>
      <c r="X28" s="45">
        <f>B28+B62</f>
        <v>127</v>
      </c>
      <c r="Y28" s="45">
        <f>C28+C62</f>
        <v>41</v>
      </c>
      <c r="Z28" s="45">
        <f>D28+D62</f>
        <v>23</v>
      </c>
      <c r="AA28" s="45">
        <f>E28+E62</f>
        <v>26</v>
      </c>
      <c r="AB28" s="45">
        <f>F28+F62</f>
        <v>36</v>
      </c>
      <c r="AC28" s="45">
        <f>G28+G62</f>
        <v>67</v>
      </c>
      <c r="AD28" s="45">
        <f>H28+H62</f>
        <v>132</v>
      </c>
      <c r="AE28" s="45">
        <f>I28+I62</f>
        <v>0</v>
      </c>
      <c r="AF28" s="45">
        <f>J28+J62</f>
        <v>296</v>
      </c>
      <c r="AG28" s="45">
        <f>K28+K62</f>
        <v>34</v>
      </c>
      <c r="AH28" s="45">
        <f>L28+L62</f>
        <v>0</v>
      </c>
      <c r="AI28" s="45">
        <f>M28+M62</f>
        <v>8</v>
      </c>
      <c r="AJ28" s="45">
        <f>N28+N62</f>
        <v>0</v>
      </c>
      <c r="AK28" s="45">
        <f>O28+O62</f>
        <v>3</v>
      </c>
      <c r="AL28" s="45">
        <f>P28+P62</f>
        <v>1</v>
      </c>
      <c r="AM28" s="45">
        <f>Q28+Q62</f>
        <v>328</v>
      </c>
      <c r="AN28" s="45">
        <f>R28+R62</f>
        <v>120</v>
      </c>
      <c r="AO28" s="45">
        <f>S28+S62</f>
        <v>448</v>
      </c>
      <c r="AP28" s="45">
        <f>T28+T62</f>
        <v>3</v>
      </c>
      <c r="AQ28" s="45">
        <f>U28+U62</f>
        <v>794</v>
      </c>
      <c r="AR28" s="45">
        <f>V28+V62</f>
        <v>1443.5</v>
      </c>
    </row>
    <row r="29" spans="1:44" x14ac:dyDescent="0.3">
      <c r="A29" s="62" t="str">
        <f>'Day-2'!A29</f>
        <v>07:00-08:00</v>
      </c>
      <c r="B29" s="108">
        <v>110</v>
      </c>
      <c r="C29" s="140">
        <v>23</v>
      </c>
      <c r="D29" s="108">
        <v>7</v>
      </c>
      <c r="E29" s="108">
        <v>17</v>
      </c>
      <c r="F29" s="108">
        <v>10</v>
      </c>
      <c r="G29" s="108">
        <v>21</v>
      </c>
      <c r="H29" s="108">
        <v>38</v>
      </c>
      <c r="I29" s="108">
        <v>0</v>
      </c>
      <c r="J29" s="108">
        <v>254</v>
      </c>
      <c r="K29" s="108">
        <v>44</v>
      </c>
      <c r="L29" s="108">
        <v>0</v>
      </c>
      <c r="M29" s="108">
        <v>2</v>
      </c>
      <c r="N29" s="108">
        <v>0</v>
      </c>
      <c r="O29" s="108">
        <v>0</v>
      </c>
      <c r="P29" s="108">
        <v>0</v>
      </c>
      <c r="Q29" s="66">
        <f t="shared" si="0"/>
        <v>431</v>
      </c>
      <c r="R29" s="59">
        <f t="shared" si="1"/>
        <v>95</v>
      </c>
      <c r="S29" s="59">
        <f t="shared" si="2"/>
        <v>526</v>
      </c>
      <c r="T29" s="59">
        <f t="shared" si="3"/>
        <v>0</v>
      </c>
      <c r="U29" s="59">
        <f t="shared" si="4"/>
        <v>526</v>
      </c>
      <c r="V29" s="60">
        <f t="shared" si="5"/>
        <v>655.5</v>
      </c>
      <c r="W29" s="47" t="str">
        <f t="shared" si="6"/>
        <v>07:00-08:00</v>
      </c>
      <c r="X29" s="45">
        <f>B29+B63</f>
        <v>231</v>
      </c>
      <c r="Y29" s="45">
        <f>C29+C63</f>
        <v>56</v>
      </c>
      <c r="Z29" s="45">
        <f>D29+D63</f>
        <v>25</v>
      </c>
      <c r="AA29" s="45">
        <f>E29+E63</f>
        <v>40</v>
      </c>
      <c r="AB29" s="45">
        <f>F29+F63</f>
        <v>33</v>
      </c>
      <c r="AC29" s="45">
        <f>G29+G63</f>
        <v>56</v>
      </c>
      <c r="AD29" s="45">
        <f>H29+H63</f>
        <v>106</v>
      </c>
      <c r="AE29" s="45">
        <f>I29+I63</f>
        <v>0</v>
      </c>
      <c r="AF29" s="45">
        <f>J29+J63</f>
        <v>337</v>
      </c>
      <c r="AG29" s="45">
        <f>K29+K63</f>
        <v>63</v>
      </c>
      <c r="AH29" s="45">
        <f>L29+L63</f>
        <v>0</v>
      </c>
      <c r="AI29" s="45">
        <f>M29+M63</f>
        <v>10</v>
      </c>
      <c r="AJ29" s="45">
        <f>N29+N63</f>
        <v>0</v>
      </c>
      <c r="AK29" s="45">
        <f>O29+O63</f>
        <v>0</v>
      </c>
      <c r="AL29" s="45">
        <f>P29+P63</f>
        <v>0</v>
      </c>
      <c r="AM29" s="45">
        <f>Q29+Q63</f>
        <v>431</v>
      </c>
      <c r="AN29" s="45">
        <f>R29+R63</f>
        <v>95</v>
      </c>
      <c r="AO29" s="45">
        <f>S29+S63</f>
        <v>526</v>
      </c>
      <c r="AP29" s="45">
        <f>T29+T63</f>
        <v>0</v>
      </c>
      <c r="AQ29" s="45">
        <f>U29+U63</f>
        <v>957</v>
      </c>
      <c r="AR29" s="45">
        <f>V29+V63</f>
        <v>1504.5</v>
      </c>
    </row>
    <row r="30" spans="1:44" x14ac:dyDescent="0.3">
      <c r="A30" s="62" t="str">
        <f>'Day-2'!A30</f>
        <v>08:00-09:00</v>
      </c>
      <c r="B30" s="108">
        <v>169</v>
      </c>
      <c r="C30" s="140">
        <v>30</v>
      </c>
      <c r="D30" s="108">
        <v>14</v>
      </c>
      <c r="E30" s="108">
        <v>16</v>
      </c>
      <c r="F30" s="108">
        <v>16</v>
      </c>
      <c r="G30" s="108">
        <v>21</v>
      </c>
      <c r="H30" s="108">
        <v>53</v>
      </c>
      <c r="I30" s="108">
        <v>0</v>
      </c>
      <c r="J30" s="108">
        <v>258</v>
      </c>
      <c r="K30" s="108">
        <v>67</v>
      </c>
      <c r="L30" s="108">
        <v>0</v>
      </c>
      <c r="M30" s="108">
        <v>6</v>
      </c>
      <c r="N30" s="108">
        <v>0</v>
      </c>
      <c r="O30" s="108">
        <v>0</v>
      </c>
      <c r="P30" s="108">
        <v>0</v>
      </c>
      <c r="Q30" s="66">
        <f t="shared" si="0"/>
        <v>524</v>
      </c>
      <c r="R30" s="59">
        <f t="shared" si="1"/>
        <v>126</v>
      </c>
      <c r="S30" s="59">
        <f t="shared" si="2"/>
        <v>650</v>
      </c>
      <c r="T30" s="59">
        <f t="shared" si="3"/>
        <v>0</v>
      </c>
      <c r="U30" s="59">
        <f t="shared" si="4"/>
        <v>650</v>
      </c>
      <c r="V30" s="60">
        <f t="shared" si="5"/>
        <v>869.5</v>
      </c>
      <c r="W30" s="47" t="str">
        <f t="shared" si="6"/>
        <v>08:00-09:00</v>
      </c>
      <c r="X30" s="45">
        <f>B30+B64</f>
        <v>350</v>
      </c>
      <c r="Y30" s="45">
        <f>C30+C64</f>
        <v>82</v>
      </c>
      <c r="Z30" s="45">
        <f>D30+D64</f>
        <v>28</v>
      </c>
      <c r="AA30" s="45">
        <f>E30+E64</f>
        <v>38</v>
      </c>
      <c r="AB30" s="45">
        <f>F30+F64</f>
        <v>35</v>
      </c>
      <c r="AC30" s="45">
        <f>G30+G64</f>
        <v>62</v>
      </c>
      <c r="AD30" s="45">
        <f>H30+H64</f>
        <v>131</v>
      </c>
      <c r="AE30" s="45">
        <f>I30+I64</f>
        <v>0</v>
      </c>
      <c r="AF30" s="45">
        <f>J30+J64</f>
        <v>370</v>
      </c>
      <c r="AG30" s="45">
        <f>K30+K64</f>
        <v>98</v>
      </c>
      <c r="AH30" s="45">
        <f>L30+L64</f>
        <v>0</v>
      </c>
      <c r="AI30" s="45">
        <f>M30+M64</f>
        <v>8</v>
      </c>
      <c r="AJ30" s="45">
        <f>N30+N64</f>
        <v>0</v>
      </c>
      <c r="AK30" s="45">
        <f>O30+O64</f>
        <v>0</v>
      </c>
      <c r="AL30" s="45">
        <f>P30+P64</f>
        <v>0</v>
      </c>
      <c r="AM30" s="45">
        <f>Q30+Q64</f>
        <v>524</v>
      </c>
      <c r="AN30" s="45">
        <f>R30+R64</f>
        <v>126</v>
      </c>
      <c r="AO30" s="45">
        <f>S30+S64</f>
        <v>650</v>
      </c>
      <c r="AP30" s="45">
        <f>T30+T64</f>
        <v>0</v>
      </c>
      <c r="AQ30" s="45">
        <f>U30+U64</f>
        <v>1202</v>
      </c>
      <c r="AR30" s="45">
        <f>V30+V64</f>
        <v>1880.5</v>
      </c>
    </row>
    <row r="31" spans="1:44" x14ac:dyDescent="0.3">
      <c r="A31" s="62" t="str">
        <f>'Day-2'!A31</f>
        <v>09:00-10:00</v>
      </c>
      <c r="B31" s="108">
        <v>184</v>
      </c>
      <c r="C31" s="140">
        <v>29</v>
      </c>
      <c r="D31" s="108">
        <v>28</v>
      </c>
      <c r="E31" s="108">
        <v>27</v>
      </c>
      <c r="F31" s="108">
        <v>16</v>
      </c>
      <c r="G31" s="108">
        <v>24</v>
      </c>
      <c r="H31" s="108">
        <v>55</v>
      </c>
      <c r="I31" s="108">
        <v>0</v>
      </c>
      <c r="J31" s="108">
        <v>224</v>
      </c>
      <c r="K31" s="108">
        <v>59</v>
      </c>
      <c r="L31" s="108">
        <v>0</v>
      </c>
      <c r="M31" s="108">
        <v>5</v>
      </c>
      <c r="N31" s="108">
        <v>0</v>
      </c>
      <c r="O31" s="108">
        <v>0</v>
      </c>
      <c r="P31" s="108">
        <v>0</v>
      </c>
      <c r="Q31" s="66">
        <f t="shared" si="0"/>
        <v>496</v>
      </c>
      <c r="R31" s="59">
        <f t="shared" si="1"/>
        <v>155</v>
      </c>
      <c r="S31" s="59">
        <f t="shared" si="2"/>
        <v>651</v>
      </c>
      <c r="T31" s="59">
        <f t="shared" si="3"/>
        <v>0</v>
      </c>
      <c r="U31" s="59">
        <f t="shared" si="4"/>
        <v>651</v>
      </c>
      <c r="V31" s="60">
        <f t="shared" si="5"/>
        <v>900.5</v>
      </c>
      <c r="W31" s="47" t="str">
        <f t="shared" si="6"/>
        <v>09:00-10:00</v>
      </c>
      <c r="X31" s="45">
        <f>B31+B65</f>
        <v>437</v>
      </c>
      <c r="Y31" s="45">
        <f>C31+C65</f>
        <v>54</v>
      </c>
      <c r="Z31" s="45">
        <f>D31+D65</f>
        <v>49</v>
      </c>
      <c r="AA31" s="45">
        <f>E31+E65</f>
        <v>41</v>
      </c>
      <c r="AB31" s="45">
        <f>F31+F65</f>
        <v>33</v>
      </c>
      <c r="AC31" s="45">
        <f>G31+G65</f>
        <v>55</v>
      </c>
      <c r="AD31" s="45">
        <f>H31+H65</f>
        <v>139</v>
      </c>
      <c r="AE31" s="45">
        <f>I31+I65</f>
        <v>0</v>
      </c>
      <c r="AF31" s="45">
        <f>J31+J65</f>
        <v>337</v>
      </c>
      <c r="AG31" s="45">
        <f>K31+K65</f>
        <v>92</v>
      </c>
      <c r="AH31" s="45">
        <f>L31+L65</f>
        <v>3</v>
      </c>
      <c r="AI31" s="45">
        <f>M31+M65</f>
        <v>5</v>
      </c>
      <c r="AJ31" s="45">
        <f>N31+N65</f>
        <v>0</v>
      </c>
      <c r="AK31" s="45">
        <f>O31+O65</f>
        <v>0</v>
      </c>
      <c r="AL31" s="45">
        <f>P31+P65</f>
        <v>0</v>
      </c>
      <c r="AM31" s="45">
        <f>Q31+Q65</f>
        <v>496</v>
      </c>
      <c r="AN31" s="45">
        <f>R31+R65</f>
        <v>161</v>
      </c>
      <c r="AO31" s="45">
        <f>S31+S65</f>
        <v>657</v>
      </c>
      <c r="AP31" s="45">
        <f>T31+T65</f>
        <v>0</v>
      </c>
      <c r="AQ31" s="45">
        <f>U31+U65</f>
        <v>1245</v>
      </c>
      <c r="AR31" s="45">
        <f>V31+V65</f>
        <v>1886.5</v>
      </c>
    </row>
    <row r="32" spans="1:44" x14ac:dyDescent="0.3">
      <c r="A32" s="62" t="str">
        <f>'Day-2'!A32</f>
        <v>10:00-11:00</v>
      </c>
      <c r="B32" s="108">
        <v>193</v>
      </c>
      <c r="C32" s="140">
        <v>19</v>
      </c>
      <c r="D32" s="108">
        <v>13</v>
      </c>
      <c r="E32" s="108">
        <v>27</v>
      </c>
      <c r="F32" s="108">
        <v>11</v>
      </c>
      <c r="G32" s="108">
        <v>14</v>
      </c>
      <c r="H32" s="108">
        <v>71</v>
      </c>
      <c r="I32" s="108">
        <v>0</v>
      </c>
      <c r="J32" s="108">
        <v>168</v>
      </c>
      <c r="K32" s="108">
        <v>54</v>
      </c>
      <c r="L32" s="108">
        <v>0</v>
      </c>
      <c r="M32" s="108">
        <v>3</v>
      </c>
      <c r="N32" s="108">
        <v>0</v>
      </c>
      <c r="O32" s="108">
        <v>0</v>
      </c>
      <c r="P32" s="108">
        <v>0</v>
      </c>
      <c r="Q32" s="66">
        <f t="shared" si="0"/>
        <v>434</v>
      </c>
      <c r="R32" s="59">
        <f t="shared" si="1"/>
        <v>139</v>
      </c>
      <c r="S32" s="59">
        <f t="shared" si="2"/>
        <v>573</v>
      </c>
      <c r="T32" s="59">
        <f t="shared" si="3"/>
        <v>0</v>
      </c>
      <c r="U32" s="59">
        <f t="shared" si="4"/>
        <v>573</v>
      </c>
      <c r="V32" s="60">
        <f t="shared" si="5"/>
        <v>849.5</v>
      </c>
      <c r="W32" s="47" t="str">
        <f t="shared" si="6"/>
        <v>10:00-11:00</v>
      </c>
      <c r="X32" s="45">
        <f>B32+B66</f>
        <v>444</v>
      </c>
      <c r="Y32" s="45">
        <f>C32+C66</f>
        <v>37</v>
      </c>
      <c r="Z32" s="45">
        <f>D32+D66</f>
        <v>36</v>
      </c>
      <c r="AA32" s="45">
        <f>E32+E66</f>
        <v>50</v>
      </c>
      <c r="AB32" s="45">
        <f>F32+F66</f>
        <v>26</v>
      </c>
      <c r="AC32" s="45">
        <f>G32+G66</f>
        <v>44</v>
      </c>
      <c r="AD32" s="45">
        <f>H32+H66</f>
        <v>153</v>
      </c>
      <c r="AE32" s="45">
        <f>I32+I66</f>
        <v>0</v>
      </c>
      <c r="AF32" s="45">
        <f>J32+J66</f>
        <v>255</v>
      </c>
      <c r="AG32" s="45">
        <f>K32+K66</f>
        <v>103</v>
      </c>
      <c r="AH32" s="45">
        <f>L32+L66</f>
        <v>3</v>
      </c>
      <c r="AI32" s="45">
        <f>M32+M66</f>
        <v>3</v>
      </c>
      <c r="AJ32" s="45">
        <f>N32+N66</f>
        <v>0</v>
      </c>
      <c r="AK32" s="45">
        <f>O32+O66</f>
        <v>0</v>
      </c>
      <c r="AL32" s="45">
        <f>P32+P66</f>
        <v>0</v>
      </c>
      <c r="AM32" s="45">
        <f>Q32+Q66</f>
        <v>434</v>
      </c>
      <c r="AN32" s="45">
        <f>R32+R66</f>
        <v>141</v>
      </c>
      <c r="AO32" s="45">
        <f>S32+S66</f>
        <v>575</v>
      </c>
      <c r="AP32" s="45">
        <f>T32+T66</f>
        <v>0</v>
      </c>
      <c r="AQ32" s="45">
        <f>U32+U66</f>
        <v>1154</v>
      </c>
      <c r="AR32" s="45">
        <f>V32+V66</f>
        <v>1813</v>
      </c>
    </row>
    <row r="33" spans="1:44" x14ac:dyDescent="0.3">
      <c r="A33" s="62" t="str">
        <f>'Day-2'!A33</f>
        <v>11:00-12:00</v>
      </c>
      <c r="B33" s="108">
        <v>191</v>
      </c>
      <c r="C33" s="140">
        <v>30</v>
      </c>
      <c r="D33" s="108">
        <v>34</v>
      </c>
      <c r="E33" s="108">
        <v>13</v>
      </c>
      <c r="F33" s="108">
        <v>14</v>
      </c>
      <c r="G33" s="108">
        <v>19</v>
      </c>
      <c r="H33" s="108">
        <v>67</v>
      </c>
      <c r="I33" s="108">
        <v>0</v>
      </c>
      <c r="J33" s="108">
        <v>201</v>
      </c>
      <c r="K33" s="108">
        <v>65</v>
      </c>
      <c r="L33" s="108">
        <v>0</v>
      </c>
      <c r="M33" s="108">
        <v>10</v>
      </c>
      <c r="N33" s="108">
        <v>0</v>
      </c>
      <c r="O33" s="108">
        <v>0</v>
      </c>
      <c r="P33" s="108">
        <v>0</v>
      </c>
      <c r="Q33" s="66">
        <f t="shared" si="0"/>
        <v>487</v>
      </c>
      <c r="R33" s="59">
        <f t="shared" si="1"/>
        <v>157</v>
      </c>
      <c r="S33" s="59">
        <f t="shared" si="2"/>
        <v>644</v>
      </c>
      <c r="T33" s="59">
        <f t="shared" si="3"/>
        <v>0</v>
      </c>
      <c r="U33" s="59">
        <f t="shared" si="4"/>
        <v>644</v>
      </c>
      <c r="V33" s="60">
        <f t="shared" si="5"/>
        <v>945.5</v>
      </c>
      <c r="W33" s="47" t="str">
        <f t="shared" si="6"/>
        <v>11:00-12:00</v>
      </c>
      <c r="X33" s="45">
        <f>B33+B67</f>
        <v>371</v>
      </c>
      <c r="Y33" s="45">
        <f>C33+C67</f>
        <v>46</v>
      </c>
      <c r="Z33" s="45">
        <f>D33+D67</f>
        <v>45</v>
      </c>
      <c r="AA33" s="45">
        <f>E33+E67</f>
        <v>35</v>
      </c>
      <c r="AB33" s="45">
        <f>F33+F67</f>
        <v>31</v>
      </c>
      <c r="AC33" s="45">
        <f>G33+G67</f>
        <v>52</v>
      </c>
      <c r="AD33" s="45">
        <f>H33+H67</f>
        <v>135</v>
      </c>
      <c r="AE33" s="45">
        <f>I33+I67</f>
        <v>0</v>
      </c>
      <c r="AF33" s="45">
        <f>J33+J67</f>
        <v>401</v>
      </c>
      <c r="AG33" s="45">
        <f>K33+K67</f>
        <v>127</v>
      </c>
      <c r="AH33" s="45">
        <f>L33+L67</f>
        <v>0</v>
      </c>
      <c r="AI33" s="45">
        <f>M33+M67</f>
        <v>14</v>
      </c>
      <c r="AJ33" s="45">
        <f>N33+N67</f>
        <v>0</v>
      </c>
      <c r="AK33" s="45">
        <f>O33+O67</f>
        <v>0</v>
      </c>
      <c r="AL33" s="45">
        <f>P33+P67</f>
        <v>0</v>
      </c>
      <c r="AM33" s="45">
        <f>Q33+Q67</f>
        <v>487</v>
      </c>
      <c r="AN33" s="45">
        <f>R33+R67</f>
        <v>158</v>
      </c>
      <c r="AO33" s="45">
        <f>S33+S67</f>
        <v>645</v>
      </c>
      <c r="AP33" s="45">
        <f>T33+T67</f>
        <v>0</v>
      </c>
      <c r="AQ33" s="45">
        <f>U33+U67</f>
        <v>1257</v>
      </c>
      <c r="AR33" s="45">
        <f>V33+V67</f>
        <v>1853.5</v>
      </c>
    </row>
    <row r="34" spans="1:44" x14ac:dyDescent="0.3">
      <c r="A34" s="48" t="s">
        <v>23</v>
      </c>
      <c r="B34" s="146">
        <f t="shared" ref="B34:Q34" si="7">SUM(B10:B33)</f>
        <v>2490</v>
      </c>
      <c r="C34" s="94">
        <f t="shared" si="7"/>
        <v>465</v>
      </c>
      <c r="D34" s="146">
        <f t="shared" si="7"/>
        <v>429</v>
      </c>
      <c r="E34" s="110">
        <f t="shared" si="7"/>
        <v>530</v>
      </c>
      <c r="F34" s="146">
        <f t="shared" si="7"/>
        <v>280</v>
      </c>
      <c r="G34" s="146">
        <f t="shared" si="7"/>
        <v>529</v>
      </c>
      <c r="H34" s="146">
        <f t="shared" si="7"/>
        <v>1556</v>
      </c>
      <c r="I34" s="146">
        <f t="shared" si="7"/>
        <v>0</v>
      </c>
      <c r="J34" s="146">
        <f t="shared" si="7"/>
        <v>3307</v>
      </c>
      <c r="K34" s="146">
        <f t="shared" si="7"/>
        <v>684</v>
      </c>
      <c r="L34" s="146">
        <f t="shared" si="7"/>
        <v>2</v>
      </c>
      <c r="M34" s="146">
        <f t="shared" si="7"/>
        <v>70</v>
      </c>
      <c r="N34" s="146">
        <f t="shared" si="7"/>
        <v>0</v>
      </c>
      <c r="O34" s="146">
        <f t="shared" si="7"/>
        <v>8</v>
      </c>
      <c r="P34" s="146">
        <f t="shared" si="7"/>
        <v>2</v>
      </c>
      <c r="Q34" s="107">
        <f t="shared" si="7"/>
        <v>6954</v>
      </c>
      <c r="R34" s="30">
        <f t="shared" ref="R34:V34" si="8">SUM(R10:R33)</f>
        <v>3398</v>
      </c>
      <c r="S34" s="31">
        <f t="shared" si="8"/>
        <v>10352</v>
      </c>
      <c r="T34" s="30">
        <f t="shared" si="8"/>
        <v>8</v>
      </c>
      <c r="U34" s="31">
        <f>SUM(U10:U33)</f>
        <v>10352</v>
      </c>
      <c r="V34" s="31">
        <f t="shared" si="8"/>
        <v>17218.5</v>
      </c>
      <c r="W34" s="48" t="s">
        <v>23</v>
      </c>
      <c r="X34" s="30">
        <f>SUM(X10:X33)</f>
        <v>5397</v>
      </c>
      <c r="Y34" s="30">
        <f t="shared" ref="Y34:AR34" si="9">SUM(Y10:Y33)</f>
        <v>970</v>
      </c>
      <c r="Z34" s="30">
        <f t="shared" si="9"/>
        <v>791</v>
      </c>
      <c r="AA34" s="30">
        <f t="shared" si="9"/>
        <v>979</v>
      </c>
      <c r="AB34" s="30">
        <f t="shared" si="9"/>
        <v>671</v>
      </c>
      <c r="AC34" s="30">
        <f t="shared" si="9"/>
        <v>1085</v>
      </c>
      <c r="AD34" s="30">
        <f t="shared" si="9"/>
        <v>3335</v>
      </c>
      <c r="AE34" s="30">
        <f t="shared" si="9"/>
        <v>0</v>
      </c>
      <c r="AF34" s="30">
        <f t="shared" si="9"/>
        <v>6275</v>
      </c>
      <c r="AG34" s="30">
        <f t="shared" si="9"/>
        <v>1223</v>
      </c>
      <c r="AH34" s="30">
        <f t="shared" si="9"/>
        <v>30</v>
      </c>
      <c r="AI34" s="30">
        <f t="shared" si="9"/>
        <v>130</v>
      </c>
      <c r="AJ34" s="30">
        <f t="shared" si="9"/>
        <v>4</v>
      </c>
      <c r="AK34" s="30">
        <f t="shared" si="9"/>
        <v>8</v>
      </c>
      <c r="AL34" s="30">
        <f t="shared" si="9"/>
        <v>4</v>
      </c>
      <c r="AM34" s="30">
        <f t="shared" si="9"/>
        <v>6965</v>
      </c>
      <c r="AN34" s="30">
        <f t="shared" si="9"/>
        <v>3418</v>
      </c>
      <c r="AO34" s="30">
        <f t="shared" si="9"/>
        <v>10383</v>
      </c>
      <c r="AP34" s="30">
        <f t="shared" si="9"/>
        <v>12</v>
      </c>
      <c r="AQ34" s="30">
        <f t="shared" si="9"/>
        <v>20902</v>
      </c>
      <c r="AR34" s="31">
        <f t="shared" si="9"/>
        <v>35868.5</v>
      </c>
    </row>
    <row r="35" spans="1:44" x14ac:dyDescent="0.3">
      <c r="E35" s="109"/>
    </row>
    <row r="38" spans="1:44" x14ac:dyDescent="0.3">
      <c r="A38" s="150" t="s">
        <v>25</v>
      </c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</row>
    <row r="39" spans="1:44" x14ac:dyDescent="0.3">
      <c r="A39" s="143" t="str">
        <f>A5</f>
        <v xml:space="preserve">Location: </v>
      </c>
      <c r="B39" s="153" t="str">
        <f>B5</f>
        <v>Nathavalasa Toll Plaza</v>
      </c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5"/>
      <c r="Q39" s="143" t="str">
        <f>Q5</f>
        <v>Date:</v>
      </c>
      <c r="R39" s="156">
        <f>R5</f>
        <v>45234</v>
      </c>
      <c r="S39" s="157"/>
      <c r="T39" s="157"/>
      <c r="U39" s="157"/>
      <c r="V39" s="158"/>
    </row>
    <row r="40" spans="1:44" x14ac:dyDescent="0.3">
      <c r="A40" s="144" t="s">
        <v>205</v>
      </c>
      <c r="B40" s="153" t="str">
        <f>'Day-2'!B40:V40</f>
        <v>Anandapuram to Ranasthalam</v>
      </c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5"/>
    </row>
    <row r="41" spans="1:44" x14ac:dyDescent="0.3">
      <c r="A41" s="14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1" t="s">
        <v>2</v>
      </c>
      <c r="B42" s="171" t="s">
        <v>80</v>
      </c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0" t="s">
        <v>165</v>
      </c>
      <c r="O42" s="170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2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 t="shared" ref="A44:A67" si="10">A10</f>
        <v>12:00-13:00</v>
      </c>
      <c r="B44" s="108">
        <v>167</v>
      </c>
      <c r="C44" s="140">
        <v>22</v>
      </c>
      <c r="D44" s="108">
        <v>27</v>
      </c>
      <c r="E44" s="108">
        <v>14</v>
      </c>
      <c r="F44" s="108">
        <v>11</v>
      </c>
      <c r="G44" s="108">
        <v>25</v>
      </c>
      <c r="H44" s="108">
        <v>65</v>
      </c>
      <c r="I44" s="108">
        <v>0</v>
      </c>
      <c r="J44" s="108">
        <v>162</v>
      </c>
      <c r="K44" s="108">
        <v>30</v>
      </c>
      <c r="L44" s="108">
        <v>0</v>
      </c>
      <c r="M44" s="108">
        <v>5</v>
      </c>
      <c r="N44" s="108">
        <v>0</v>
      </c>
      <c r="O44" s="108">
        <v>0</v>
      </c>
      <c r="P44" s="108">
        <v>0</v>
      </c>
      <c r="Q44" s="63">
        <v>0</v>
      </c>
      <c r="R44" s="45">
        <v>0</v>
      </c>
      <c r="S44" s="45">
        <f t="shared" ref="S44:S67" si="11">Q44+R44</f>
        <v>0</v>
      </c>
      <c r="T44" s="45">
        <f t="shared" ref="T44:T67" si="12">N44+O44</f>
        <v>0</v>
      </c>
      <c r="U44" s="45">
        <f t="shared" ref="U44:U67" si="13">SUM(B44:P44)</f>
        <v>528</v>
      </c>
      <c r="V44" s="46">
        <f t="shared" ref="V44:V67" si="14">SUMPRODUCT(B44:P44,$B$7:$P$7)</f>
        <v>815</v>
      </c>
    </row>
    <row r="45" spans="1:44" x14ac:dyDescent="0.3">
      <c r="A45" s="62" t="str">
        <f t="shared" si="10"/>
        <v>13:00-14:00</v>
      </c>
      <c r="B45" s="108">
        <v>98</v>
      </c>
      <c r="C45" s="140">
        <v>29</v>
      </c>
      <c r="D45" s="108">
        <v>16</v>
      </c>
      <c r="E45" s="108">
        <v>19</v>
      </c>
      <c r="F45" s="108">
        <v>14</v>
      </c>
      <c r="G45" s="108">
        <v>15</v>
      </c>
      <c r="H45" s="108">
        <v>79</v>
      </c>
      <c r="I45" s="108">
        <v>0</v>
      </c>
      <c r="J45" s="108">
        <v>176</v>
      </c>
      <c r="K45" s="108">
        <v>33</v>
      </c>
      <c r="L45" s="108">
        <v>0</v>
      </c>
      <c r="M45" s="108">
        <v>4</v>
      </c>
      <c r="N45" s="108">
        <v>0</v>
      </c>
      <c r="O45" s="108">
        <v>0</v>
      </c>
      <c r="P45" s="108">
        <v>0</v>
      </c>
      <c r="Q45" s="63">
        <v>0</v>
      </c>
      <c r="R45" s="45">
        <v>0</v>
      </c>
      <c r="S45" s="45">
        <f t="shared" si="11"/>
        <v>0</v>
      </c>
      <c r="T45" s="45">
        <f t="shared" si="12"/>
        <v>0</v>
      </c>
      <c r="U45" s="45">
        <f t="shared" si="13"/>
        <v>483</v>
      </c>
      <c r="V45" s="46">
        <f t="shared" si="14"/>
        <v>811</v>
      </c>
    </row>
    <row r="46" spans="1:44" x14ac:dyDescent="0.3">
      <c r="A46" s="62" t="str">
        <f t="shared" si="10"/>
        <v>14:00-15:00</v>
      </c>
      <c r="B46" s="108">
        <v>89</v>
      </c>
      <c r="C46" s="140">
        <v>29</v>
      </c>
      <c r="D46" s="108">
        <v>24</v>
      </c>
      <c r="E46" s="108">
        <v>19</v>
      </c>
      <c r="F46" s="108">
        <v>6</v>
      </c>
      <c r="G46" s="108">
        <v>22</v>
      </c>
      <c r="H46" s="108">
        <v>85</v>
      </c>
      <c r="I46" s="108">
        <v>0</v>
      </c>
      <c r="J46" s="108">
        <v>198</v>
      </c>
      <c r="K46" s="108">
        <v>29</v>
      </c>
      <c r="L46" s="108">
        <v>2</v>
      </c>
      <c r="M46" s="108">
        <v>0</v>
      </c>
      <c r="N46" s="108">
        <v>2</v>
      </c>
      <c r="O46" s="108">
        <v>0</v>
      </c>
      <c r="P46" s="108">
        <v>0</v>
      </c>
      <c r="Q46" s="63">
        <v>0</v>
      </c>
      <c r="R46" s="45">
        <v>0</v>
      </c>
      <c r="S46" s="45">
        <f t="shared" si="11"/>
        <v>0</v>
      </c>
      <c r="T46" s="45">
        <f t="shared" si="12"/>
        <v>2</v>
      </c>
      <c r="U46" s="45">
        <f t="shared" si="13"/>
        <v>505</v>
      </c>
      <c r="V46" s="46">
        <f t="shared" si="14"/>
        <v>827</v>
      </c>
    </row>
    <row r="47" spans="1:44" x14ac:dyDescent="0.3">
      <c r="A47" s="62" t="str">
        <f t="shared" si="10"/>
        <v>15:00-16:00</v>
      </c>
      <c r="B47" s="108">
        <v>181</v>
      </c>
      <c r="C47" s="141">
        <v>29</v>
      </c>
      <c r="D47" s="108">
        <v>12</v>
      </c>
      <c r="E47" s="108">
        <v>15</v>
      </c>
      <c r="F47" s="108">
        <v>13</v>
      </c>
      <c r="G47" s="108">
        <v>15</v>
      </c>
      <c r="H47" s="108">
        <v>89</v>
      </c>
      <c r="I47" s="108">
        <v>0</v>
      </c>
      <c r="J47" s="108">
        <v>194</v>
      </c>
      <c r="K47" s="108">
        <v>28</v>
      </c>
      <c r="L47" s="108">
        <v>2</v>
      </c>
      <c r="M47" s="108">
        <v>5</v>
      </c>
      <c r="N47" s="108">
        <v>0</v>
      </c>
      <c r="O47" s="108">
        <v>0</v>
      </c>
      <c r="P47" s="108">
        <v>0</v>
      </c>
      <c r="Q47" s="63">
        <v>0</v>
      </c>
      <c r="R47" s="45">
        <v>0</v>
      </c>
      <c r="S47" s="45">
        <f t="shared" si="11"/>
        <v>0</v>
      </c>
      <c r="T47" s="45">
        <f t="shared" si="12"/>
        <v>0</v>
      </c>
      <c r="U47" s="45">
        <f t="shared" si="13"/>
        <v>583</v>
      </c>
      <c r="V47" s="46">
        <f t="shared" si="14"/>
        <v>937.5</v>
      </c>
    </row>
    <row r="48" spans="1:44" x14ac:dyDescent="0.3">
      <c r="A48" s="62" t="str">
        <f t="shared" si="10"/>
        <v>16:00-17:00</v>
      </c>
      <c r="B48" s="108">
        <v>205</v>
      </c>
      <c r="C48" s="141">
        <v>25</v>
      </c>
      <c r="D48" s="108">
        <v>9</v>
      </c>
      <c r="E48" s="108">
        <v>11</v>
      </c>
      <c r="F48" s="108">
        <v>17</v>
      </c>
      <c r="G48" s="108">
        <v>14</v>
      </c>
      <c r="H48" s="108">
        <v>55</v>
      </c>
      <c r="I48" s="108">
        <v>0</v>
      </c>
      <c r="J48" s="108">
        <v>194</v>
      </c>
      <c r="K48" s="108">
        <v>56</v>
      </c>
      <c r="L48" s="108">
        <v>0</v>
      </c>
      <c r="M48" s="108">
        <v>4</v>
      </c>
      <c r="N48" s="108">
        <v>0</v>
      </c>
      <c r="O48" s="108">
        <v>0</v>
      </c>
      <c r="P48" s="108">
        <v>0</v>
      </c>
      <c r="Q48" s="63">
        <v>0</v>
      </c>
      <c r="R48" s="45">
        <v>0</v>
      </c>
      <c r="S48" s="45">
        <f t="shared" si="11"/>
        <v>0</v>
      </c>
      <c r="T48" s="45">
        <f t="shared" si="12"/>
        <v>0</v>
      </c>
      <c r="U48" s="45">
        <f t="shared" si="13"/>
        <v>590</v>
      </c>
      <c r="V48" s="46">
        <f t="shared" si="14"/>
        <v>817</v>
      </c>
    </row>
    <row r="49" spans="1:22" x14ac:dyDescent="0.3">
      <c r="A49" s="62" t="str">
        <f t="shared" si="10"/>
        <v>17:00-18:00</v>
      </c>
      <c r="B49" s="108">
        <v>210</v>
      </c>
      <c r="C49" s="141">
        <v>41</v>
      </c>
      <c r="D49" s="108">
        <v>11</v>
      </c>
      <c r="E49" s="108">
        <v>27</v>
      </c>
      <c r="F49" s="108">
        <v>8</v>
      </c>
      <c r="G49" s="108">
        <v>14</v>
      </c>
      <c r="H49" s="108">
        <v>82</v>
      </c>
      <c r="I49" s="108">
        <v>0</v>
      </c>
      <c r="J49" s="108">
        <v>175</v>
      </c>
      <c r="K49" s="108">
        <v>40</v>
      </c>
      <c r="L49" s="108">
        <v>4</v>
      </c>
      <c r="M49" s="108">
        <v>7</v>
      </c>
      <c r="N49" s="108">
        <v>0</v>
      </c>
      <c r="O49" s="108">
        <v>0</v>
      </c>
      <c r="P49" s="108">
        <v>0</v>
      </c>
      <c r="Q49" s="63">
        <v>0</v>
      </c>
      <c r="R49" s="45">
        <v>1</v>
      </c>
      <c r="S49" s="45">
        <f t="shared" si="11"/>
        <v>1</v>
      </c>
      <c r="T49" s="45">
        <f t="shared" si="12"/>
        <v>0</v>
      </c>
      <c r="U49" s="45">
        <f t="shared" si="13"/>
        <v>619</v>
      </c>
      <c r="V49" s="46">
        <f t="shared" si="14"/>
        <v>984.5</v>
      </c>
    </row>
    <row r="50" spans="1:22" x14ac:dyDescent="0.3">
      <c r="A50" s="62" t="str">
        <f t="shared" si="10"/>
        <v>18:00-19:00</v>
      </c>
      <c r="B50" s="108">
        <v>137</v>
      </c>
      <c r="C50" s="140">
        <v>21</v>
      </c>
      <c r="D50" s="108">
        <v>14</v>
      </c>
      <c r="E50" s="108">
        <v>16</v>
      </c>
      <c r="F50" s="108">
        <v>12</v>
      </c>
      <c r="G50" s="108">
        <v>6</v>
      </c>
      <c r="H50" s="108">
        <v>57</v>
      </c>
      <c r="I50" s="108">
        <v>0</v>
      </c>
      <c r="J50" s="108">
        <v>198</v>
      </c>
      <c r="K50" s="108">
        <v>26</v>
      </c>
      <c r="L50" s="108">
        <v>0</v>
      </c>
      <c r="M50" s="108">
        <v>7</v>
      </c>
      <c r="N50" s="108">
        <v>0</v>
      </c>
      <c r="O50" s="108">
        <v>0</v>
      </c>
      <c r="P50" s="108">
        <v>1</v>
      </c>
      <c r="Q50" s="63">
        <v>9</v>
      </c>
      <c r="R50" s="45">
        <v>0</v>
      </c>
      <c r="S50" s="45">
        <f t="shared" si="11"/>
        <v>9</v>
      </c>
      <c r="T50" s="45">
        <f t="shared" si="12"/>
        <v>0</v>
      </c>
      <c r="U50" s="45">
        <f t="shared" si="13"/>
        <v>495</v>
      </c>
      <c r="V50" s="46">
        <f t="shared" si="14"/>
        <v>709.5</v>
      </c>
    </row>
    <row r="51" spans="1:22" x14ac:dyDescent="0.3">
      <c r="A51" s="62" t="str">
        <f t="shared" si="10"/>
        <v>19:00-20:00</v>
      </c>
      <c r="B51" s="108">
        <v>158</v>
      </c>
      <c r="C51" s="140">
        <v>24</v>
      </c>
      <c r="D51" s="108">
        <v>10</v>
      </c>
      <c r="E51" s="108">
        <v>31</v>
      </c>
      <c r="F51" s="108">
        <v>15</v>
      </c>
      <c r="G51" s="108">
        <v>17</v>
      </c>
      <c r="H51" s="108">
        <v>70</v>
      </c>
      <c r="I51" s="108">
        <v>0</v>
      </c>
      <c r="J51" s="108">
        <v>281</v>
      </c>
      <c r="K51" s="108">
        <v>26</v>
      </c>
      <c r="L51" s="108">
        <v>8</v>
      </c>
      <c r="M51" s="108">
        <v>0</v>
      </c>
      <c r="N51" s="108">
        <v>0</v>
      </c>
      <c r="O51" s="108">
        <v>0</v>
      </c>
      <c r="P51" s="108">
        <v>0</v>
      </c>
      <c r="Q51" s="63">
        <v>0</v>
      </c>
      <c r="R51" s="45">
        <v>2</v>
      </c>
      <c r="S51" s="45">
        <f t="shared" si="11"/>
        <v>2</v>
      </c>
      <c r="T51" s="45">
        <f t="shared" si="12"/>
        <v>0</v>
      </c>
      <c r="U51" s="45">
        <f t="shared" si="13"/>
        <v>640</v>
      </c>
      <c r="V51" s="46">
        <f t="shared" si="14"/>
        <v>876</v>
      </c>
    </row>
    <row r="52" spans="1:22" x14ac:dyDescent="0.3">
      <c r="A52" s="62" t="str">
        <f t="shared" si="10"/>
        <v>20:00-21:00</v>
      </c>
      <c r="B52" s="108">
        <v>226</v>
      </c>
      <c r="C52" s="140">
        <v>29</v>
      </c>
      <c r="D52" s="108">
        <v>24</v>
      </c>
      <c r="E52" s="108">
        <v>33</v>
      </c>
      <c r="F52" s="108">
        <v>26</v>
      </c>
      <c r="G52" s="108">
        <v>24</v>
      </c>
      <c r="H52" s="108">
        <v>76</v>
      </c>
      <c r="I52" s="108">
        <v>0</v>
      </c>
      <c r="J52" s="108">
        <v>244</v>
      </c>
      <c r="K52" s="108">
        <v>24</v>
      </c>
      <c r="L52" s="108">
        <v>4</v>
      </c>
      <c r="M52" s="108">
        <v>0</v>
      </c>
      <c r="N52" s="108">
        <v>0</v>
      </c>
      <c r="O52" s="108">
        <v>0</v>
      </c>
      <c r="P52" s="108">
        <v>0</v>
      </c>
      <c r="Q52" s="63">
        <v>0</v>
      </c>
      <c r="R52" s="45">
        <v>0</v>
      </c>
      <c r="S52" s="45">
        <f t="shared" si="11"/>
        <v>0</v>
      </c>
      <c r="T52" s="45">
        <f t="shared" si="12"/>
        <v>0</v>
      </c>
      <c r="U52" s="45">
        <f t="shared" si="13"/>
        <v>710</v>
      </c>
      <c r="V52" s="46">
        <f t="shared" si="14"/>
        <v>1030.5</v>
      </c>
    </row>
    <row r="53" spans="1:22" x14ac:dyDescent="0.3">
      <c r="A53" s="62" t="str">
        <f t="shared" si="10"/>
        <v>21:00-22:00</v>
      </c>
      <c r="B53" s="108">
        <v>145</v>
      </c>
      <c r="C53" s="142">
        <v>18</v>
      </c>
      <c r="D53" s="108">
        <v>19</v>
      </c>
      <c r="E53" s="108">
        <v>17</v>
      </c>
      <c r="F53" s="108">
        <v>13</v>
      </c>
      <c r="G53" s="108">
        <v>12</v>
      </c>
      <c r="H53" s="108">
        <v>84</v>
      </c>
      <c r="I53" s="108">
        <v>0</v>
      </c>
      <c r="J53" s="108">
        <v>174</v>
      </c>
      <c r="K53" s="108">
        <v>10</v>
      </c>
      <c r="L53" s="108">
        <v>2</v>
      </c>
      <c r="M53" s="108">
        <v>3</v>
      </c>
      <c r="N53" s="108">
        <v>0</v>
      </c>
      <c r="O53" s="108">
        <v>0</v>
      </c>
      <c r="P53" s="108">
        <v>0</v>
      </c>
      <c r="Q53" s="66">
        <v>0</v>
      </c>
      <c r="R53" s="59">
        <v>0</v>
      </c>
      <c r="S53" s="59">
        <f t="shared" si="11"/>
        <v>0</v>
      </c>
      <c r="T53" s="59">
        <f t="shared" si="12"/>
        <v>0</v>
      </c>
      <c r="U53" s="59">
        <f t="shared" si="13"/>
        <v>497</v>
      </c>
      <c r="V53" s="60">
        <f t="shared" si="14"/>
        <v>810</v>
      </c>
    </row>
    <row r="54" spans="1:22" x14ac:dyDescent="0.3">
      <c r="A54" s="62" t="str">
        <f t="shared" si="10"/>
        <v>22:00-23:00</v>
      </c>
      <c r="B54" s="108">
        <v>86</v>
      </c>
      <c r="C54" s="140">
        <v>9</v>
      </c>
      <c r="D54" s="108">
        <v>28</v>
      </c>
      <c r="E54" s="108">
        <v>22</v>
      </c>
      <c r="F54" s="108">
        <v>43</v>
      </c>
      <c r="G54" s="108">
        <v>22</v>
      </c>
      <c r="H54" s="108">
        <v>65</v>
      </c>
      <c r="I54" s="108">
        <v>0</v>
      </c>
      <c r="J54" s="108">
        <v>94</v>
      </c>
      <c r="K54" s="108">
        <v>7</v>
      </c>
      <c r="L54" s="108">
        <v>0</v>
      </c>
      <c r="M54" s="108">
        <v>4</v>
      </c>
      <c r="N54" s="108">
        <v>0</v>
      </c>
      <c r="O54" s="108">
        <v>0</v>
      </c>
      <c r="P54" s="108">
        <v>0</v>
      </c>
      <c r="Q54" s="66">
        <v>0</v>
      </c>
      <c r="R54" s="59">
        <v>0</v>
      </c>
      <c r="S54" s="59">
        <f t="shared" si="11"/>
        <v>0</v>
      </c>
      <c r="T54" s="59">
        <f t="shared" si="12"/>
        <v>0</v>
      </c>
      <c r="U54" s="59">
        <f t="shared" si="13"/>
        <v>380</v>
      </c>
      <c r="V54" s="60">
        <f t="shared" si="14"/>
        <v>733.5</v>
      </c>
    </row>
    <row r="55" spans="1:22" x14ac:dyDescent="0.3">
      <c r="A55" s="62" t="str">
        <f t="shared" si="10"/>
        <v>23:00-00:00</v>
      </c>
      <c r="B55" s="108">
        <v>63</v>
      </c>
      <c r="C55" s="140">
        <v>4</v>
      </c>
      <c r="D55" s="108">
        <v>11</v>
      </c>
      <c r="E55" s="108">
        <v>13</v>
      </c>
      <c r="F55" s="108">
        <v>12</v>
      </c>
      <c r="G55" s="108">
        <v>22</v>
      </c>
      <c r="H55" s="108">
        <v>65</v>
      </c>
      <c r="I55" s="108">
        <v>0</v>
      </c>
      <c r="J55" s="108">
        <v>46</v>
      </c>
      <c r="K55" s="108">
        <v>0</v>
      </c>
      <c r="L55" s="108">
        <v>0</v>
      </c>
      <c r="M55" s="108">
        <v>2</v>
      </c>
      <c r="N55" s="108">
        <v>0</v>
      </c>
      <c r="O55" s="108">
        <v>0</v>
      </c>
      <c r="P55" s="108">
        <v>0</v>
      </c>
      <c r="Q55" s="66">
        <v>0</v>
      </c>
      <c r="R55" s="59">
        <v>2</v>
      </c>
      <c r="S55" s="59">
        <f t="shared" si="11"/>
        <v>2</v>
      </c>
      <c r="T55" s="59">
        <f t="shared" si="12"/>
        <v>0</v>
      </c>
      <c r="U55" s="59">
        <f t="shared" si="13"/>
        <v>238</v>
      </c>
      <c r="V55" s="60">
        <f t="shared" si="14"/>
        <v>532</v>
      </c>
    </row>
    <row r="56" spans="1:22" x14ac:dyDescent="0.3">
      <c r="A56" s="62" t="str">
        <f t="shared" si="10"/>
        <v>00:00-01:00</v>
      </c>
      <c r="B56" s="108">
        <v>29</v>
      </c>
      <c r="C56" s="140">
        <v>6</v>
      </c>
      <c r="D56" s="108">
        <v>14</v>
      </c>
      <c r="E56" s="108">
        <v>13</v>
      </c>
      <c r="F56" s="108">
        <v>14</v>
      </c>
      <c r="G56" s="108">
        <v>25</v>
      </c>
      <c r="H56" s="108">
        <v>81</v>
      </c>
      <c r="I56" s="108">
        <v>0</v>
      </c>
      <c r="J56" s="108">
        <v>21</v>
      </c>
      <c r="K56" s="108">
        <v>2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6">
        <v>0</v>
      </c>
      <c r="R56" s="59">
        <v>2</v>
      </c>
      <c r="S56" s="59">
        <f t="shared" si="11"/>
        <v>2</v>
      </c>
      <c r="T56" s="59">
        <f t="shared" si="12"/>
        <v>0</v>
      </c>
      <c r="U56" s="59">
        <f t="shared" si="13"/>
        <v>205</v>
      </c>
      <c r="V56" s="60">
        <f t="shared" si="14"/>
        <v>574.5</v>
      </c>
    </row>
    <row r="57" spans="1:22" x14ac:dyDescent="0.3">
      <c r="A57" s="62" t="str">
        <f t="shared" si="10"/>
        <v>01:00-02:00</v>
      </c>
      <c r="B57" s="108">
        <v>8</v>
      </c>
      <c r="C57" s="140">
        <v>4</v>
      </c>
      <c r="D57" s="108">
        <v>9</v>
      </c>
      <c r="E57" s="108">
        <v>17</v>
      </c>
      <c r="F57" s="108">
        <v>10</v>
      </c>
      <c r="G57" s="108">
        <v>25</v>
      </c>
      <c r="H57" s="108">
        <v>91</v>
      </c>
      <c r="I57" s="108">
        <v>0</v>
      </c>
      <c r="J57" s="108">
        <v>9</v>
      </c>
      <c r="K57" s="108">
        <v>0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6">
        <v>0</v>
      </c>
      <c r="R57" s="59">
        <v>0</v>
      </c>
      <c r="S57" s="59">
        <f t="shared" si="11"/>
        <v>0</v>
      </c>
      <c r="T57" s="59">
        <f t="shared" si="12"/>
        <v>0</v>
      </c>
      <c r="U57" s="59">
        <f t="shared" si="13"/>
        <v>173</v>
      </c>
      <c r="V57" s="60">
        <f t="shared" si="14"/>
        <v>573.5</v>
      </c>
    </row>
    <row r="58" spans="1:22" x14ac:dyDescent="0.3">
      <c r="A58" s="62" t="str">
        <f t="shared" si="10"/>
        <v>02:00-03:00</v>
      </c>
      <c r="B58" s="108">
        <v>16</v>
      </c>
      <c r="C58" s="140">
        <v>4</v>
      </c>
      <c r="D58" s="108">
        <v>9</v>
      </c>
      <c r="E58" s="108">
        <v>14</v>
      </c>
      <c r="F58" s="108">
        <v>15</v>
      </c>
      <c r="G58" s="108">
        <v>23</v>
      </c>
      <c r="H58" s="108">
        <v>60</v>
      </c>
      <c r="I58" s="108">
        <v>0</v>
      </c>
      <c r="J58" s="108">
        <v>8</v>
      </c>
      <c r="K58" s="108">
        <v>0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6">
        <v>0</v>
      </c>
      <c r="R58" s="59">
        <v>2</v>
      </c>
      <c r="S58" s="59">
        <f t="shared" si="11"/>
        <v>2</v>
      </c>
      <c r="T58" s="59">
        <f t="shared" si="12"/>
        <v>0</v>
      </c>
      <c r="U58" s="59">
        <f t="shared" si="13"/>
        <v>149</v>
      </c>
      <c r="V58" s="60">
        <f t="shared" si="14"/>
        <v>446</v>
      </c>
    </row>
    <row r="59" spans="1:22" x14ac:dyDescent="0.3">
      <c r="A59" s="62" t="str">
        <f t="shared" si="10"/>
        <v>03:00-04:00</v>
      </c>
      <c r="B59" s="108">
        <v>6</v>
      </c>
      <c r="C59" s="140">
        <v>10</v>
      </c>
      <c r="D59" s="108">
        <v>9</v>
      </c>
      <c r="E59" s="108">
        <v>10</v>
      </c>
      <c r="F59" s="108">
        <v>13</v>
      </c>
      <c r="G59" s="108">
        <v>13</v>
      </c>
      <c r="H59" s="108">
        <v>66</v>
      </c>
      <c r="I59" s="108">
        <v>0</v>
      </c>
      <c r="J59" s="108">
        <v>8</v>
      </c>
      <c r="K59" s="108">
        <v>0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6">
        <v>0</v>
      </c>
      <c r="R59" s="59">
        <v>0</v>
      </c>
      <c r="S59" s="59">
        <f t="shared" si="11"/>
        <v>0</v>
      </c>
      <c r="T59" s="59">
        <f t="shared" si="12"/>
        <v>0</v>
      </c>
      <c r="U59" s="59">
        <f t="shared" si="13"/>
        <v>135</v>
      </c>
      <c r="V59" s="60">
        <f t="shared" si="14"/>
        <v>439</v>
      </c>
    </row>
    <row r="60" spans="1:22" x14ac:dyDescent="0.3">
      <c r="A60" s="62" t="str">
        <f t="shared" si="10"/>
        <v>04:00-05:00</v>
      </c>
      <c r="B60" s="108">
        <v>16</v>
      </c>
      <c r="C60" s="140">
        <v>12</v>
      </c>
      <c r="D60" s="108">
        <v>9</v>
      </c>
      <c r="E60" s="108">
        <v>17</v>
      </c>
      <c r="F60" s="108">
        <v>21</v>
      </c>
      <c r="G60" s="108">
        <v>15</v>
      </c>
      <c r="H60" s="108">
        <v>59</v>
      </c>
      <c r="I60" s="108">
        <v>0</v>
      </c>
      <c r="J60" s="108">
        <v>27</v>
      </c>
      <c r="K60" s="108">
        <v>8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66">
        <v>1</v>
      </c>
      <c r="R60" s="59">
        <v>0</v>
      </c>
      <c r="S60" s="59">
        <f t="shared" si="11"/>
        <v>1</v>
      </c>
      <c r="T60" s="59">
        <f t="shared" si="12"/>
        <v>0</v>
      </c>
      <c r="U60" s="59">
        <f t="shared" si="13"/>
        <v>184</v>
      </c>
      <c r="V60" s="60">
        <f t="shared" si="14"/>
        <v>481.5</v>
      </c>
    </row>
    <row r="61" spans="1:22" x14ac:dyDescent="0.3">
      <c r="A61" s="62" t="str">
        <f t="shared" si="10"/>
        <v>05:00-06:00</v>
      </c>
      <c r="B61" s="108">
        <v>24</v>
      </c>
      <c r="C61" s="140">
        <v>21</v>
      </c>
      <c r="D61" s="108">
        <v>9</v>
      </c>
      <c r="E61" s="108">
        <v>23</v>
      </c>
      <c r="F61" s="108">
        <v>16</v>
      </c>
      <c r="G61" s="108">
        <v>33</v>
      </c>
      <c r="H61" s="108">
        <v>92</v>
      </c>
      <c r="I61" s="108">
        <v>0</v>
      </c>
      <c r="J61" s="108">
        <v>85</v>
      </c>
      <c r="K61" s="108">
        <v>13</v>
      </c>
      <c r="L61" s="108">
        <v>0</v>
      </c>
      <c r="M61" s="108">
        <v>0</v>
      </c>
      <c r="N61" s="108">
        <v>2</v>
      </c>
      <c r="O61" s="108">
        <v>0</v>
      </c>
      <c r="P61" s="108">
        <v>0</v>
      </c>
      <c r="Q61" s="66">
        <v>1</v>
      </c>
      <c r="R61" s="59">
        <v>1</v>
      </c>
      <c r="S61" s="59">
        <f t="shared" si="11"/>
        <v>2</v>
      </c>
      <c r="T61" s="59">
        <f t="shared" si="12"/>
        <v>2</v>
      </c>
      <c r="U61" s="59">
        <f t="shared" si="13"/>
        <v>318</v>
      </c>
      <c r="V61" s="60">
        <f t="shared" si="14"/>
        <v>748</v>
      </c>
    </row>
    <row r="62" spans="1:22" x14ac:dyDescent="0.3">
      <c r="A62" s="62" t="str">
        <f t="shared" si="10"/>
        <v>06:00-07:00</v>
      </c>
      <c r="B62" s="108">
        <v>57</v>
      </c>
      <c r="C62" s="140">
        <v>24</v>
      </c>
      <c r="D62" s="108">
        <v>11</v>
      </c>
      <c r="E62" s="108">
        <v>14</v>
      </c>
      <c r="F62" s="108">
        <v>21</v>
      </c>
      <c r="G62" s="108">
        <v>44</v>
      </c>
      <c r="H62" s="108">
        <v>78</v>
      </c>
      <c r="I62" s="108">
        <v>0</v>
      </c>
      <c r="J62" s="108">
        <v>79</v>
      </c>
      <c r="K62" s="108">
        <v>13</v>
      </c>
      <c r="L62" s="108">
        <v>0</v>
      </c>
      <c r="M62" s="108">
        <v>5</v>
      </c>
      <c r="N62" s="108">
        <v>0</v>
      </c>
      <c r="O62" s="108">
        <v>0</v>
      </c>
      <c r="P62" s="108">
        <v>1</v>
      </c>
      <c r="Q62" s="66">
        <v>0</v>
      </c>
      <c r="R62" s="59">
        <v>1</v>
      </c>
      <c r="S62" s="59">
        <f t="shared" si="11"/>
        <v>1</v>
      </c>
      <c r="T62" s="59">
        <f t="shared" si="12"/>
        <v>0</v>
      </c>
      <c r="U62" s="59">
        <f t="shared" si="13"/>
        <v>347</v>
      </c>
      <c r="V62" s="60">
        <f t="shared" si="14"/>
        <v>786.5</v>
      </c>
    </row>
    <row r="63" spans="1:22" x14ac:dyDescent="0.3">
      <c r="A63" s="62" t="str">
        <f t="shared" si="10"/>
        <v>07:00-08:00</v>
      </c>
      <c r="B63" s="108">
        <v>121</v>
      </c>
      <c r="C63" s="140">
        <v>33</v>
      </c>
      <c r="D63" s="108">
        <v>18</v>
      </c>
      <c r="E63" s="108">
        <v>23</v>
      </c>
      <c r="F63" s="108">
        <v>23</v>
      </c>
      <c r="G63" s="108">
        <v>35</v>
      </c>
      <c r="H63" s="108">
        <v>68</v>
      </c>
      <c r="I63" s="108">
        <v>0</v>
      </c>
      <c r="J63" s="108">
        <v>83</v>
      </c>
      <c r="K63" s="108">
        <v>19</v>
      </c>
      <c r="L63" s="108">
        <v>0</v>
      </c>
      <c r="M63" s="108">
        <v>8</v>
      </c>
      <c r="N63" s="108">
        <v>0</v>
      </c>
      <c r="O63" s="108">
        <v>0</v>
      </c>
      <c r="P63" s="108">
        <v>0</v>
      </c>
      <c r="Q63" s="66">
        <v>0</v>
      </c>
      <c r="R63" s="59">
        <v>0</v>
      </c>
      <c r="S63" s="59">
        <f t="shared" si="11"/>
        <v>0</v>
      </c>
      <c r="T63" s="59">
        <f t="shared" si="12"/>
        <v>0</v>
      </c>
      <c r="U63" s="59">
        <f t="shared" si="13"/>
        <v>431</v>
      </c>
      <c r="V63" s="60">
        <f t="shared" si="14"/>
        <v>849</v>
      </c>
    </row>
    <row r="64" spans="1:22" x14ac:dyDescent="0.3">
      <c r="A64" s="62" t="str">
        <f t="shared" si="10"/>
        <v>08:00-09:00</v>
      </c>
      <c r="B64" s="108">
        <v>181</v>
      </c>
      <c r="C64" s="140">
        <v>52</v>
      </c>
      <c r="D64" s="108">
        <v>14</v>
      </c>
      <c r="E64" s="108">
        <v>22</v>
      </c>
      <c r="F64" s="108">
        <v>19</v>
      </c>
      <c r="G64" s="108">
        <v>41</v>
      </c>
      <c r="H64" s="108">
        <v>78</v>
      </c>
      <c r="I64" s="108">
        <v>0</v>
      </c>
      <c r="J64" s="108">
        <v>112</v>
      </c>
      <c r="K64" s="108">
        <v>31</v>
      </c>
      <c r="L64" s="108">
        <v>0</v>
      </c>
      <c r="M64" s="108">
        <v>2</v>
      </c>
      <c r="N64" s="108">
        <v>0</v>
      </c>
      <c r="O64" s="108">
        <v>0</v>
      </c>
      <c r="P64" s="108">
        <v>0</v>
      </c>
      <c r="Q64" s="66">
        <v>0</v>
      </c>
      <c r="R64" s="59">
        <v>0</v>
      </c>
      <c r="S64" s="59">
        <f t="shared" si="11"/>
        <v>0</v>
      </c>
      <c r="T64" s="59">
        <f t="shared" si="12"/>
        <v>0</v>
      </c>
      <c r="U64" s="59">
        <f t="shared" si="13"/>
        <v>552</v>
      </c>
      <c r="V64" s="60">
        <f t="shared" si="14"/>
        <v>1011</v>
      </c>
    </row>
    <row r="65" spans="1:22" x14ac:dyDescent="0.3">
      <c r="A65" s="62" t="str">
        <f t="shared" si="10"/>
        <v>09:00-10:00</v>
      </c>
      <c r="B65" s="108">
        <v>253</v>
      </c>
      <c r="C65" s="140">
        <v>25</v>
      </c>
      <c r="D65" s="108">
        <v>21</v>
      </c>
      <c r="E65" s="108">
        <v>14</v>
      </c>
      <c r="F65" s="108">
        <v>17</v>
      </c>
      <c r="G65" s="108">
        <v>31</v>
      </c>
      <c r="H65" s="108">
        <v>84</v>
      </c>
      <c r="I65" s="108">
        <v>0</v>
      </c>
      <c r="J65" s="108">
        <v>113</v>
      </c>
      <c r="K65" s="108">
        <v>33</v>
      </c>
      <c r="L65" s="108">
        <v>3</v>
      </c>
      <c r="M65" s="108">
        <v>0</v>
      </c>
      <c r="N65" s="108">
        <v>0</v>
      </c>
      <c r="O65" s="108">
        <v>0</v>
      </c>
      <c r="P65" s="108">
        <v>0</v>
      </c>
      <c r="Q65" s="66">
        <v>0</v>
      </c>
      <c r="R65" s="59">
        <v>6</v>
      </c>
      <c r="S65" s="59">
        <f t="shared" si="11"/>
        <v>6</v>
      </c>
      <c r="T65" s="59">
        <f t="shared" si="12"/>
        <v>0</v>
      </c>
      <c r="U65" s="59">
        <f t="shared" si="13"/>
        <v>594</v>
      </c>
      <c r="V65" s="60">
        <f t="shared" si="14"/>
        <v>986</v>
      </c>
    </row>
    <row r="66" spans="1:22" x14ac:dyDescent="0.3">
      <c r="A66" s="62" t="str">
        <f t="shared" si="10"/>
        <v>10:00-11:00</v>
      </c>
      <c r="B66" s="108">
        <v>251</v>
      </c>
      <c r="C66" s="140">
        <v>18</v>
      </c>
      <c r="D66" s="108">
        <v>23</v>
      </c>
      <c r="E66" s="108">
        <v>23</v>
      </c>
      <c r="F66" s="108">
        <v>15</v>
      </c>
      <c r="G66" s="108">
        <v>30</v>
      </c>
      <c r="H66" s="108">
        <v>82</v>
      </c>
      <c r="I66" s="108">
        <v>0</v>
      </c>
      <c r="J66" s="108">
        <v>87</v>
      </c>
      <c r="K66" s="108">
        <v>49</v>
      </c>
      <c r="L66" s="108">
        <v>3</v>
      </c>
      <c r="M66" s="108">
        <v>0</v>
      </c>
      <c r="N66" s="108">
        <v>0</v>
      </c>
      <c r="O66" s="108">
        <v>0</v>
      </c>
      <c r="P66" s="108">
        <v>0</v>
      </c>
      <c r="Q66" s="66">
        <v>0</v>
      </c>
      <c r="R66" s="59">
        <v>2</v>
      </c>
      <c r="S66" s="59">
        <f t="shared" si="11"/>
        <v>2</v>
      </c>
      <c r="T66" s="59">
        <f t="shared" si="12"/>
        <v>0</v>
      </c>
      <c r="U66" s="59">
        <f t="shared" si="13"/>
        <v>581</v>
      </c>
      <c r="V66" s="60">
        <f t="shared" si="14"/>
        <v>963.5</v>
      </c>
    </row>
    <row r="67" spans="1:22" x14ac:dyDescent="0.3">
      <c r="A67" s="62" t="str">
        <f t="shared" si="10"/>
        <v>11:00-12:00</v>
      </c>
      <c r="B67" s="108">
        <v>180</v>
      </c>
      <c r="C67" s="140">
        <v>16</v>
      </c>
      <c r="D67" s="108">
        <v>11</v>
      </c>
      <c r="E67" s="108">
        <v>22</v>
      </c>
      <c r="F67" s="108">
        <v>17</v>
      </c>
      <c r="G67" s="108">
        <v>33</v>
      </c>
      <c r="H67" s="108">
        <v>68</v>
      </c>
      <c r="I67" s="108">
        <v>0</v>
      </c>
      <c r="J67" s="108">
        <v>200</v>
      </c>
      <c r="K67" s="108">
        <v>62</v>
      </c>
      <c r="L67" s="108">
        <v>0</v>
      </c>
      <c r="M67" s="108">
        <v>4</v>
      </c>
      <c r="N67" s="108">
        <v>0</v>
      </c>
      <c r="O67" s="108">
        <v>0</v>
      </c>
      <c r="P67" s="108">
        <v>0</v>
      </c>
      <c r="Q67" s="66">
        <v>0</v>
      </c>
      <c r="R67" s="59">
        <v>1</v>
      </c>
      <c r="S67" s="59">
        <f t="shared" si="11"/>
        <v>1</v>
      </c>
      <c r="T67" s="59">
        <f t="shared" si="12"/>
        <v>0</v>
      </c>
      <c r="U67" s="59">
        <f t="shared" si="13"/>
        <v>613</v>
      </c>
      <c r="V67" s="60">
        <f t="shared" si="14"/>
        <v>908</v>
      </c>
    </row>
    <row r="68" spans="1:22" x14ac:dyDescent="0.3">
      <c r="A68" s="48" t="s">
        <v>23</v>
      </c>
      <c r="B68" s="146">
        <f t="shared" ref="B68:Q68" si="15">SUM(B44:B67)</f>
        <v>2907</v>
      </c>
      <c r="C68" s="94">
        <f t="shared" si="15"/>
        <v>505</v>
      </c>
      <c r="D68" s="146">
        <f t="shared" si="15"/>
        <v>362</v>
      </c>
      <c r="E68" s="110">
        <f t="shared" si="15"/>
        <v>449</v>
      </c>
      <c r="F68" s="146">
        <f t="shared" si="15"/>
        <v>391</v>
      </c>
      <c r="G68" s="146">
        <f t="shared" si="15"/>
        <v>556</v>
      </c>
      <c r="H68" s="146">
        <f t="shared" si="15"/>
        <v>1779</v>
      </c>
      <c r="I68" s="146">
        <f t="shared" si="15"/>
        <v>0</v>
      </c>
      <c r="J68" s="146">
        <f t="shared" si="15"/>
        <v>2968</v>
      </c>
      <c r="K68" s="146">
        <f t="shared" si="15"/>
        <v>539</v>
      </c>
      <c r="L68" s="146">
        <f t="shared" si="15"/>
        <v>28</v>
      </c>
      <c r="M68" s="146">
        <f t="shared" si="15"/>
        <v>60</v>
      </c>
      <c r="N68" s="146">
        <f t="shared" si="15"/>
        <v>4</v>
      </c>
      <c r="O68" s="146">
        <f t="shared" si="15"/>
        <v>0</v>
      </c>
      <c r="P68" s="146">
        <f t="shared" si="15"/>
        <v>2</v>
      </c>
      <c r="Q68" s="107">
        <f t="shared" si="15"/>
        <v>11</v>
      </c>
      <c r="R68" s="30">
        <f t="shared" ref="R68:V68" si="16">SUM(R44:R67)</f>
        <v>20</v>
      </c>
      <c r="S68" s="31">
        <f t="shared" si="16"/>
        <v>31</v>
      </c>
      <c r="T68" s="30">
        <f t="shared" si="16"/>
        <v>4</v>
      </c>
      <c r="U68" s="31">
        <f>SUM(U44:U67)</f>
        <v>10550</v>
      </c>
      <c r="V68" s="31">
        <f t="shared" si="16"/>
        <v>18650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  <mergeCell ref="A38:V38"/>
    <mergeCell ref="A42:A43"/>
    <mergeCell ref="N42:O42"/>
    <mergeCell ref="B42:M42"/>
    <mergeCell ref="B39:P39"/>
    <mergeCell ref="R39:V39"/>
    <mergeCell ref="B40:V40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3:AR98"/>
  <sheetViews>
    <sheetView zoomScale="106" zoomScaleNormal="106" workbookViewId="0">
      <selection activeCell="A34" sqref="A34:M36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7" width="4" style="1" bestFit="1" customWidth="1"/>
    <col min="28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0" t="s">
        <v>26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9" t="s">
        <v>26</v>
      </c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1"/>
    </row>
    <row r="5" spans="1:44" x14ac:dyDescent="0.3">
      <c r="A5" s="143" t="s">
        <v>208</v>
      </c>
      <c r="B5" s="153" t="str">
        <f>'Day-3'!B5:P5</f>
        <v>Nathavalasa Toll Plaza</v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5"/>
      <c r="Q5" s="143" t="s">
        <v>202</v>
      </c>
      <c r="R5" s="156">
        <v>45235</v>
      </c>
      <c r="S5" s="157"/>
      <c r="T5" s="157"/>
      <c r="U5" s="157"/>
      <c r="V5" s="158"/>
      <c r="W5" s="143" t="str">
        <f>A5</f>
        <v>Location:</v>
      </c>
      <c r="X5" s="153" t="str">
        <f>B5</f>
        <v>Nathavalasa Toll Plaza</v>
      </c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5"/>
      <c r="AJ5" s="143" t="str">
        <f>Q5</f>
        <v>Date:</v>
      </c>
      <c r="AK5" s="156">
        <f>R5</f>
        <v>45235</v>
      </c>
      <c r="AL5" s="168"/>
      <c r="AM5" s="168"/>
      <c r="AN5" s="168"/>
      <c r="AO5" s="168"/>
      <c r="AP5" s="168"/>
      <c r="AQ5" s="168"/>
      <c r="AR5" s="169"/>
    </row>
    <row r="6" spans="1:44" x14ac:dyDescent="0.3">
      <c r="A6" s="144" t="s">
        <v>205</v>
      </c>
      <c r="B6" s="153" t="str">
        <f>'Day-3'!B6:V6</f>
        <v>Ranasthalam to Anandapuram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5"/>
      <c r="W6" s="153" t="s">
        <v>1</v>
      </c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5"/>
    </row>
    <row r="7" spans="1:44" x14ac:dyDescent="0.3">
      <c r="A7" s="14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1" t="s">
        <v>2</v>
      </c>
      <c r="B8" s="171" t="s">
        <v>80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0" t="s">
        <v>81</v>
      </c>
      <c r="O8" s="170"/>
      <c r="P8" s="103"/>
      <c r="Q8" s="104"/>
      <c r="R8" s="104"/>
      <c r="S8" s="104"/>
      <c r="T8" s="104"/>
      <c r="U8" s="104"/>
      <c r="V8" s="105"/>
      <c r="W8" s="162" t="s">
        <v>2</v>
      </c>
      <c r="X8" s="163" t="s">
        <v>80</v>
      </c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5"/>
      <c r="AJ8" s="166" t="s">
        <v>81</v>
      </c>
      <c r="AK8" s="167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2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1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49" t="s">
        <v>76</v>
      </c>
      <c r="AM9" s="149" t="s">
        <v>17</v>
      </c>
      <c r="AN9" s="149" t="s">
        <v>18</v>
      </c>
      <c r="AO9" s="149" t="s">
        <v>19</v>
      </c>
      <c r="AP9" s="149" t="s">
        <v>20</v>
      </c>
      <c r="AQ9" s="149" t="s">
        <v>21</v>
      </c>
      <c r="AR9" s="149" t="s">
        <v>22</v>
      </c>
    </row>
    <row r="10" spans="1:44" x14ac:dyDescent="0.3">
      <c r="A10" s="62" t="str">
        <f>'Day-3'!A10</f>
        <v>12:00-13:00</v>
      </c>
      <c r="B10" s="108">
        <v>176</v>
      </c>
      <c r="C10" s="140">
        <v>25</v>
      </c>
      <c r="D10" s="108">
        <v>23</v>
      </c>
      <c r="E10" s="108">
        <v>21</v>
      </c>
      <c r="F10" s="108">
        <v>19</v>
      </c>
      <c r="G10" s="108">
        <v>27</v>
      </c>
      <c r="H10" s="108">
        <v>66</v>
      </c>
      <c r="I10" s="108">
        <v>0</v>
      </c>
      <c r="J10" s="108">
        <v>187</v>
      </c>
      <c r="K10" s="108">
        <v>51</v>
      </c>
      <c r="L10" s="108">
        <v>0</v>
      </c>
      <c r="M10" s="108">
        <v>6</v>
      </c>
      <c r="N10" s="108">
        <v>0</v>
      </c>
      <c r="O10" s="108">
        <v>0</v>
      </c>
      <c r="P10" s="108">
        <v>0</v>
      </c>
      <c r="Q10" s="63">
        <f t="shared" ref="Q10:Q33" si="0">B10+C10+J10+K10+N10+O10</f>
        <v>439</v>
      </c>
      <c r="R10" s="45">
        <f>D10+E10+F10+G10+H10+I10+L10+M10+P10</f>
        <v>162</v>
      </c>
      <c r="S10" s="45">
        <f t="shared" ref="S10:S33" si="1">Q10+R10</f>
        <v>601</v>
      </c>
      <c r="T10" s="45">
        <f>N10+O10</f>
        <v>0</v>
      </c>
      <c r="U10" s="45">
        <f t="shared" ref="U10:U33" si="2">SUM(B10:P10)</f>
        <v>601</v>
      </c>
      <c r="V10" s="46">
        <f t="shared" ref="V10:V33" si="3">SUMPRODUCT(B10:P10,$B$7:$P$7)</f>
        <v>912</v>
      </c>
      <c r="W10" s="47" t="str">
        <f t="shared" ref="W10:W33" si="4">A10</f>
        <v>12:00-13:00</v>
      </c>
      <c r="X10" s="45">
        <f>B10+B44</f>
        <v>337</v>
      </c>
      <c r="Y10" s="45">
        <f>C10+C44</f>
        <v>48</v>
      </c>
      <c r="Z10" s="45">
        <f>D10+D44</f>
        <v>53</v>
      </c>
      <c r="AA10" s="45">
        <f>E10+E44</f>
        <v>34</v>
      </c>
      <c r="AB10" s="45">
        <f>F10+F44</f>
        <v>36</v>
      </c>
      <c r="AC10" s="45">
        <f>G10+G44</f>
        <v>56</v>
      </c>
      <c r="AD10" s="45">
        <f>H10+H44</f>
        <v>132</v>
      </c>
      <c r="AE10" s="45">
        <f>I10+I44</f>
        <v>0</v>
      </c>
      <c r="AF10" s="45">
        <f>J10+J44</f>
        <v>409</v>
      </c>
      <c r="AG10" s="45">
        <f>K10+K44</f>
        <v>110</v>
      </c>
      <c r="AH10" s="45">
        <f>L10+L44</f>
        <v>0</v>
      </c>
      <c r="AI10" s="45">
        <f>M10+M44</f>
        <v>8</v>
      </c>
      <c r="AJ10" s="45">
        <f>N10+N44</f>
        <v>0</v>
      </c>
      <c r="AK10" s="45">
        <f>O10+O44</f>
        <v>0</v>
      </c>
      <c r="AL10" s="45">
        <f>P10+P44</f>
        <v>0</v>
      </c>
      <c r="AM10" s="45">
        <f>Q10+Q44</f>
        <v>904</v>
      </c>
      <c r="AN10" s="45">
        <f>R10+R44</f>
        <v>319</v>
      </c>
      <c r="AO10" s="45">
        <f>S10+S44</f>
        <v>1223</v>
      </c>
      <c r="AP10" s="45">
        <f>T10+T44</f>
        <v>0</v>
      </c>
      <c r="AQ10" s="45">
        <f>U10+U44</f>
        <v>1223</v>
      </c>
      <c r="AR10" s="53">
        <f>V10+V44</f>
        <v>1805.5</v>
      </c>
    </row>
    <row r="11" spans="1:44" x14ac:dyDescent="0.3">
      <c r="A11" s="62" t="str">
        <f>'Day-3'!A11</f>
        <v>13:00-14:00</v>
      </c>
      <c r="B11" s="108">
        <v>136</v>
      </c>
      <c r="C11" s="140">
        <v>23</v>
      </c>
      <c r="D11" s="108">
        <v>30</v>
      </c>
      <c r="E11" s="108">
        <v>14</v>
      </c>
      <c r="F11" s="108">
        <v>19</v>
      </c>
      <c r="G11" s="108">
        <v>25</v>
      </c>
      <c r="H11" s="108">
        <v>50</v>
      </c>
      <c r="I11" s="108">
        <v>0</v>
      </c>
      <c r="J11" s="108">
        <v>153</v>
      </c>
      <c r="K11" s="108">
        <v>43</v>
      </c>
      <c r="L11" s="108">
        <v>0</v>
      </c>
      <c r="M11" s="108">
        <v>4</v>
      </c>
      <c r="N11" s="108">
        <v>0</v>
      </c>
      <c r="O11" s="108">
        <v>0</v>
      </c>
      <c r="P11" s="108">
        <v>0</v>
      </c>
      <c r="Q11" s="63">
        <f t="shared" si="0"/>
        <v>355</v>
      </c>
      <c r="R11" s="45">
        <f t="shared" ref="R11:R33" si="5">D11+E11+F11+G11+H11+I11+L11+M11+P11</f>
        <v>142</v>
      </c>
      <c r="S11" s="45">
        <f t="shared" si="1"/>
        <v>497</v>
      </c>
      <c r="T11" s="45">
        <f t="shared" ref="T11:T33" si="6">N11+O11</f>
        <v>0</v>
      </c>
      <c r="U11" s="45">
        <f t="shared" si="2"/>
        <v>497</v>
      </c>
      <c r="V11" s="46">
        <f t="shared" si="3"/>
        <v>750.5</v>
      </c>
      <c r="W11" s="47" t="str">
        <f t="shared" si="4"/>
        <v>13:00-14:00</v>
      </c>
      <c r="X11" s="45">
        <f>B11+B45</f>
        <v>270</v>
      </c>
      <c r="Y11" s="45">
        <f>C11+C45</f>
        <v>56</v>
      </c>
      <c r="Z11" s="45">
        <f>D11+D45</f>
        <v>46</v>
      </c>
      <c r="AA11" s="45">
        <f>E11+E45</f>
        <v>30</v>
      </c>
      <c r="AB11" s="45">
        <f>F11+F45</f>
        <v>33</v>
      </c>
      <c r="AC11" s="45">
        <f>G11+G45</f>
        <v>43</v>
      </c>
      <c r="AD11" s="45">
        <f>H11+H45</f>
        <v>105</v>
      </c>
      <c r="AE11" s="45">
        <f>I11+I45</f>
        <v>0</v>
      </c>
      <c r="AF11" s="45">
        <f>J11+J45</f>
        <v>392</v>
      </c>
      <c r="AG11" s="45">
        <f>K11+K45</f>
        <v>87</v>
      </c>
      <c r="AH11" s="45">
        <f>L11+L45</f>
        <v>0</v>
      </c>
      <c r="AI11" s="45">
        <f>M11+M45</f>
        <v>8</v>
      </c>
      <c r="AJ11" s="45">
        <f>N11+N45</f>
        <v>0</v>
      </c>
      <c r="AK11" s="45">
        <f>O11+O45</f>
        <v>0</v>
      </c>
      <c r="AL11" s="45">
        <f>P11+P45</f>
        <v>0</v>
      </c>
      <c r="AM11" s="45">
        <f>Q11+Q45</f>
        <v>805</v>
      </c>
      <c r="AN11" s="45">
        <f>R11+R45</f>
        <v>265</v>
      </c>
      <c r="AO11" s="45">
        <f>S11+S45</f>
        <v>1070</v>
      </c>
      <c r="AP11" s="45">
        <f>T11+T45</f>
        <v>0</v>
      </c>
      <c r="AQ11" s="45">
        <f>U11+U45</f>
        <v>1070</v>
      </c>
      <c r="AR11" s="45">
        <f>V11+V45</f>
        <v>1548.5</v>
      </c>
    </row>
    <row r="12" spans="1:44" x14ac:dyDescent="0.3">
      <c r="A12" s="62" t="str">
        <f>'Day-3'!A12</f>
        <v>14:00-15:00</v>
      </c>
      <c r="B12" s="108">
        <v>189</v>
      </c>
      <c r="C12" s="140">
        <v>28</v>
      </c>
      <c r="D12" s="108">
        <v>14</v>
      </c>
      <c r="E12" s="108">
        <v>15</v>
      </c>
      <c r="F12" s="108">
        <v>14</v>
      </c>
      <c r="G12" s="108">
        <v>15</v>
      </c>
      <c r="H12" s="108">
        <v>61</v>
      </c>
      <c r="I12" s="108">
        <v>0</v>
      </c>
      <c r="J12" s="108">
        <v>203</v>
      </c>
      <c r="K12" s="108">
        <v>52</v>
      </c>
      <c r="L12" s="108">
        <v>2</v>
      </c>
      <c r="M12" s="108">
        <v>5</v>
      </c>
      <c r="N12" s="108">
        <v>3</v>
      </c>
      <c r="O12" s="108">
        <v>0</v>
      </c>
      <c r="P12" s="108">
        <v>0</v>
      </c>
      <c r="Q12" s="63">
        <f t="shared" si="0"/>
        <v>475</v>
      </c>
      <c r="R12" s="45">
        <f t="shared" si="5"/>
        <v>126</v>
      </c>
      <c r="S12" s="45">
        <f t="shared" si="1"/>
        <v>601</v>
      </c>
      <c r="T12" s="45">
        <f t="shared" si="6"/>
        <v>3</v>
      </c>
      <c r="U12" s="45">
        <f t="shared" si="2"/>
        <v>601</v>
      </c>
      <c r="V12" s="46">
        <f t="shared" si="3"/>
        <v>851.5</v>
      </c>
      <c r="W12" s="47" t="str">
        <f t="shared" si="4"/>
        <v>14:00-15:00</v>
      </c>
      <c r="X12" s="45">
        <f>B12+B46</f>
        <v>316</v>
      </c>
      <c r="Y12" s="45">
        <f>C12+C46</f>
        <v>49</v>
      </c>
      <c r="Z12" s="45">
        <f>D12+D46</f>
        <v>36</v>
      </c>
      <c r="AA12" s="45">
        <f>E12+E46</f>
        <v>38</v>
      </c>
      <c r="AB12" s="45">
        <f>F12+F46</f>
        <v>31</v>
      </c>
      <c r="AC12" s="45">
        <f>G12+G46</f>
        <v>48</v>
      </c>
      <c r="AD12" s="45">
        <f>H12+H46</f>
        <v>99</v>
      </c>
      <c r="AE12" s="45">
        <f>I12+I46</f>
        <v>0</v>
      </c>
      <c r="AF12" s="45">
        <f>J12+J46</f>
        <v>346</v>
      </c>
      <c r="AG12" s="45">
        <f>K12+K46</f>
        <v>87</v>
      </c>
      <c r="AH12" s="45">
        <f>L12+L46</f>
        <v>2</v>
      </c>
      <c r="AI12" s="45">
        <f>M12+M46</f>
        <v>5</v>
      </c>
      <c r="AJ12" s="45">
        <f>N12+N46</f>
        <v>3</v>
      </c>
      <c r="AK12" s="45">
        <f>O12+O46</f>
        <v>0</v>
      </c>
      <c r="AL12" s="45">
        <f>P12+P46</f>
        <v>0</v>
      </c>
      <c r="AM12" s="45">
        <f>Q12+Q46</f>
        <v>801</v>
      </c>
      <c r="AN12" s="45">
        <f>R12+R46</f>
        <v>259</v>
      </c>
      <c r="AO12" s="45">
        <f>S12+S46</f>
        <v>1060</v>
      </c>
      <c r="AP12" s="45">
        <f>T12+T46</f>
        <v>3</v>
      </c>
      <c r="AQ12" s="45">
        <f>U12+U46</f>
        <v>1060</v>
      </c>
      <c r="AR12" s="45">
        <f>V12+V46</f>
        <v>1525.5</v>
      </c>
    </row>
    <row r="13" spans="1:44" x14ac:dyDescent="0.3">
      <c r="A13" s="62" t="str">
        <f>'Day-3'!A13</f>
        <v>15:00-16:00</v>
      </c>
      <c r="B13" s="108">
        <v>193</v>
      </c>
      <c r="C13" s="141">
        <v>27</v>
      </c>
      <c r="D13" s="108">
        <v>24</v>
      </c>
      <c r="E13" s="108">
        <v>13</v>
      </c>
      <c r="F13" s="108">
        <v>14</v>
      </c>
      <c r="G13" s="108">
        <v>14</v>
      </c>
      <c r="H13" s="108">
        <v>63</v>
      </c>
      <c r="I13" s="108">
        <v>0</v>
      </c>
      <c r="J13" s="108">
        <v>256</v>
      </c>
      <c r="K13" s="108">
        <v>46</v>
      </c>
      <c r="L13" s="108">
        <v>0</v>
      </c>
      <c r="M13" s="108">
        <v>4</v>
      </c>
      <c r="N13" s="108">
        <v>0</v>
      </c>
      <c r="O13" s="108">
        <v>0</v>
      </c>
      <c r="P13" s="108">
        <v>0</v>
      </c>
      <c r="Q13" s="63">
        <f t="shared" si="0"/>
        <v>522</v>
      </c>
      <c r="R13" s="45">
        <f t="shared" si="5"/>
        <v>132</v>
      </c>
      <c r="S13" s="45">
        <f t="shared" si="1"/>
        <v>654</v>
      </c>
      <c r="T13" s="45">
        <f t="shared" si="6"/>
        <v>0</v>
      </c>
      <c r="U13" s="45">
        <f t="shared" si="2"/>
        <v>654</v>
      </c>
      <c r="V13" s="46">
        <f t="shared" si="3"/>
        <v>877</v>
      </c>
      <c r="W13" s="47" t="str">
        <f t="shared" si="4"/>
        <v>15:00-16:00</v>
      </c>
      <c r="X13" s="45">
        <f>B13+B47</f>
        <v>379</v>
      </c>
      <c r="Y13" s="45">
        <f>C13+C47</f>
        <v>59</v>
      </c>
      <c r="Z13" s="45">
        <f>D13+D47</f>
        <v>54</v>
      </c>
      <c r="AA13" s="45">
        <f>E13+E47</f>
        <v>55</v>
      </c>
      <c r="AB13" s="45">
        <f>F13+F47</f>
        <v>39</v>
      </c>
      <c r="AC13" s="45">
        <f>G13+G47</f>
        <v>49</v>
      </c>
      <c r="AD13" s="45">
        <f>H13+H47</f>
        <v>116</v>
      </c>
      <c r="AE13" s="45">
        <f>I13+I47</f>
        <v>0</v>
      </c>
      <c r="AF13" s="45">
        <f>J13+J47</f>
        <v>455</v>
      </c>
      <c r="AG13" s="45">
        <f>K13+K47</f>
        <v>77</v>
      </c>
      <c r="AH13" s="45">
        <f>L13+L47</f>
        <v>0</v>
      </c>
      <c r="AI13" s="45">
        <f>M13+M47</f>
        <v>4</v>
      </c>
      <c r="AJ13" s="45">
        <f>N13+N47</f>
        <v>0</v>
      </c>
      <c r="AK13" s="45">
        <f>O13+O47</f>
        <v>0</v>
      </c>
      <c r="AL13" s="45">
        <f>P13+P47</f>
        <v>0</v>
      </c>
      <c r="AM13" s="45">
        <f>Q13+Q47</f>
        <v>970</v>
      </c>
      <c r="AN13" s="45">
        <f>R13+R47</f>
        <v>317</v>
      </c>
      <c r="AO13" s="45">
        <f>S13+S47</f>
        <v>1287</v>
      </c>
      <c r="AP13" s="45">
        <f>T13+T47</f>
        <v>0</v>
      </c>
      <c r="AQ13" s="45">
        <f>U13+U47</f>
        <v>1287</v>
      </c>
      <c r="AR13" s="45">
        <f>V13+V47</f>
        <v>1801</v>
      </c>
    </row>
    <row r="14" spans="1:44" x14ac:dyDescent="0.3">
      <c r="A14" s="62" t="str">
        <f>'Day-3'!A14</f>
        <v>16:00-17:00</v>
      </c>
      <c r="B14" s="108">
        <v>230</v>
      </c>
      <c r="C14" s="141">
        <v>37</v>
      </c>
      <c r="D14" s="108">
        <v>24</v>
      </c>
      <c r="E14" s="108">
        <v>17</v>
      </c>
      <c r="F14" s="108">
        <v>18</v>
      </c>
      <c r="G14" s="108">
        <v>23</v>
      </c>
      <c r="H14" s="108">
        <v>76</v>
      </c>
      <c r="I14" s="108">
        <v>0</v>
      </c>
      <c r="J14" s="108">
        <v>324</v>
      </c>
      <c r="K14" s="108">
        <v>43</v>
      </c>
      <c r="L14" s="108">
        <v>0</v>
      </c>
      <c r="M14" s="108">
        <v>4</v>
      </c>
      <c r="N14" s="108">
        <v>0</v>
      </c>
      <c r="O14" s="108">
        <v>0</v>
      </c>
      <c r="P14" s="108">
        <v>0</v>
      </c>
      <c r="Q14" s="63">
        <f t="shared" si="0"/>
        <v>634</v>
      </c>
      <c r="R14" s="45">
        <f t="shared" si="5"/>
        <v>162</v>
      </c>
      <c r="S14" s="45">
        <f t="shared" si="1"/>
        <v>796</v>
      </c>
      <c r="T14" s="45">
        <f t="shared" si="6"/>
        <v>0</v>
      </c>
      <c r="U14" s="45">
        <f t="shared" si="2"/>
        <v>796</v>
      </c>
      <c r="V14" s="46">
        <f t="shared" si="3"/>
        <v>1078.5</v>
      </c>
      <c r="W14" s="47" t="str">
        <f t="shared" si="4"/>
        <v>16:00-17:00</v>
      </c>
      <c r="X14" s="45">
        <f>B14+B48</f>
        <v>401</v>
      </c>
      <c r="Y14" s="45">
        <f>C14+C48</f>
        <v>73</v>
      </c>
      <c r="Z14" s="45">
        <f>D14+D48</f>
        <v>50</v>
      </c>
      <c r="AA14" s="45">
        <f>E14+E48</f>
        <v>34</v>
      </c>
      <c r="AB14" s="45">
        <f>F14+F48</f>
        <v>32</v>
      </c>
      <c r="AC14" s="45">
        <f>G14+G48</f>
        <v>50</v>
      </c>
      <c r="AD14" s="45">
        <f>H14+H48</f>
        <v>127</v>
      </c>
      <c r="AE14" s="45">
        <f>I14+I48</f>
        <v>0</v>
      </c>
      <c r="AF14" s="45">
        <f>J14+J48</f>
        <v>528</v>
      </c>
      <c r="AG14" s="45">
        <f>K14+K48</f>
        <v>91</v>
      </c>
      <c r="AH14" s="45">
        <f>L14+L48</f>
        <v>0</v>
      </c>
      <c r="AI14" s="45">
        <f>M14+M48</f>
        <v>7</v>
      </c>
      <c r="AJ14" s="45">
        <f>N14+N48</f>
        <v>0</v>
      </c>
      <c r="AK14" s="45">
        <f>O14+O48</f>
        <v>0</v>
      </c>
      <c r="AL14" s="45">
        <f>P14+P48</f>
        <v>0</v>
      </c>
      <c r="AM14" s="45">
        <f>Q14+Q48</f>
        <v>1093</v>
      </c>
      <c r="AN14" s="45">
        <f>R14+R48</f>
        <v>300</v>
      </c>
      <c r="AO14" s="45">
        <f>S14+S48</f>
        <v>1393</v>
      </c>
      <c r="AP14" s="45">
        <f>T14+T48</f>
        <v>0</v>
      </c>
      <c r="AQ14" s="45">
        <f>U14+U48</f>
        <v>1393</v>
      </c>
      <c r="AR14" s="45">
        <f>V14+V48</f>
        <v>1925</v>
      </c>
    </row>
    <row r="15" spans="1:44" x14ac:dyDescent="0.3">
      <c r="A15" s="62" t="str">
        <f>'Day-3'!A15</f>
        <v>17:00-18:00</v>
      </c>
      <c r="B15" s="108">
        <v>216</v>
      </c>
      <c r="C15" s="141">
        <v>30</v>
      </c>
      <c r="D15" s="108">
        <v>28</v>
      </c>
      <c r="E15" s="108">
        <v>21</v>
      </c>
      <c r="F15" s="108">
        <v>21</v>
      </c>
      <c r="G15" s="108">
        <v>16</v>
      </c>
      <c r="H15" s="108">
        <v>76</v>
      </c>
      <c r="I15" s="108">
        <v>0</v>
      </c>
      <c r="J15" s="108">
        <v>265</v>
      </c>
      <c r="K15" s="108">
        <v>42</v>
      </c>
      <c r="L15" s="108">
        <v>0</v>
      </c>
      <c r="M15" s="108">
        <v>3</v>
      </c>
      <c r="N15" s="108">
        <v>0</v>
      </c>
      <c r="O15" s="108">
        <v>0</v>
      </c>
      <c r="P15" s="108">
        <v>1</v>
      </c>
      <c r="Q15" s="63">
        <f t="shared" si="0"/>
        <v>553</v>
      </c>
      <c r="R15" s="45">
        <f t="shared" si="5"/>
        <v>166</v>
      </c>
      <c r="S15" s="45">
        <f t="shared" si="1"/>
        <v>719</v>
      </c>
      <c r="T15" s="45">
        <f t="shared" si="6"/>
        <v>0</v>
      </c>
      <c r="U15" s="45">
        <f t="shared" si="2"/>
        <v>719</v>
      </c>
      <c r="V15" s="46">
        <f t="shared" si="3"/>
        <v>1011</v>
      </c>
      <c r="W15" s="47" t="str">
        <f t="shared" si="4"/>
        <v>17:00-18:00</v>
      </c>
      <c r="X15" s="45">
        <f>B15+B49</f>
        <v>376</v>
      </c>
      <c r="Y15" s="45">
        <f>C15+C49</f>
        <v>52</v>
      </c>
      <c r="Z15" s="45">
        <f>D15+D49</f>
        <v>45</v>
      </c>
      <c r="AA15" s="45">
        <f>E15+E49</f>
        <v>50</v>
      </c>
      <c r="AB15" s="45">
        <f>F15+F49</f>
        <v>44</v>
      </c>
      <c r="AC15" s="45">
        <f>G15+G49</f>
        <v>41</v>
      </c>
      <c r="AD15" s="45">
        <f>H15+H49</f>
        <v>142</v>
      </c>
      <c r="AE15" s="45">
        <f>I15+I49</f>
        <v>0</v>
      </c>
      <c r="AF15" s="45">
        <f>J15+J49</f>
        <v>468</v>
      </c>
      <c r="AG15" s="45">
        <f>K15+K49</f>
        <v>87</v>
      </c>
      <c r="AH15" s="45">
        <f>L15+L49</f>
        <v>0</v>
      </c>
      <c r="AI15" s="45">
        <f>M15+M49</f>
        <v>5</v>
      </c>
      <c r="AJ15" s="45">
        <f>N15+N49</f>
        <v>0</v>
      </c>
      <c r="AK15" s="45">
        <f>O15+O49</f>
        <v>0</v>
      </c>
      <c r="AL15" s="45">
        <f>P15+P49</f>
        <v>1</v>
      </c>
      <c r="AM15" s="45">
        <f>Q15+Q49</f>
        <v>983</v>
      </c>
      <c r="AN15" s="45">
        <f>R15+R49</f>
        <v>328</v>
      </c>
      <c r="AO15" s="45">
        <f>S15+S49</f>
        <v>1311</v>
      </c>
      <c r="AP15" s="45">
        <f>T15+T49</f>
        <v>0</v>
      </c>
      <c r="AQ15" s="45">
        <f>U15+U49</f>
        <v>1311</v>
      </c>
      <c r="AR15" s="45">
        <f>V15+V49</f>
        <v>1894</v>
      </c>
    </row>
    <row r="16" spans="1:44" x14ac:dyDescent="0.3">
      <c r="A16" s="62" t="str">
        <f>'Day-3'!A16</f>
        <v>18:00-19:00</v>
      </c>
      <c r="B16" s="108">
        <v>200</v>
      </c>
      <c r="C16" s="140">
        <v>41</v>
      </c>
      <c r="D16" s="108">
        <v>24</v>
      </c>
      <c r="E16" s="108">
        <v>26</v>
      </c>
      <c r="F16" s="108">
        <v>27</v>
      </c>
      <c r="G16" s="108">
        <v>19</v>
      </c>
      <c r="H16" s="108">
        <v>95</v>
      </c>
      <c r="I16" s="108">
        <v>0</v>
      </c>
      <c r="J16" s="108">
        <v>221</v>
      </c>
      <c r="K16" s="108">
        <v>35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63">
        <f t="shared" si="0"/>
        <v>497</v>
      </c>
      <c r="R16" s="45">
        <f t="shared" si="5"/>
        <v>191</v>
      </c>
      <c r="S16" s="45">
        <f t="shared" si="1"/>
        <v>688</v>
      </c>
      <c r="T16" s="45">
        <f t="shared" si="6"/>
        <v>0</v>
      </c>
      <c r="U16" s="45">
        <f t="shared" si="2"/>
        <v>688</v>
      </c>
      <c r="V16" s="46">
        <f t="shared" si="3"/>
        <v>1097</v>
      </c>
      <c r="W16" s="47" t="str">
        <f t="shared" si="4"/>
        <v>18:00-19:00</v>
      </c>
      <c r="X16" s="45">
        <f>B16+B50</f>
        <v>350</v>
      </c>
      <c r="Y16" s="45">
        <f>C16+C50</f>
        <v>64</v>
      </c>
      <c r="Z16" s="45">
        <f>D16+D50</f>
        <v>45</v>
      </c>
      <c r="AA16" s="45">
        <f>E16+E50</f>
        <v>52</v>
      </c>
      <c r="AB16" s="45">
        <f>F16+F50</f>
        <v>50</v>
      </c>
      <c r="AC16" s="45">
        <f>G16+G50</f>
        <v>40</v>
      </c>
      <c r="AD16" s="45">
        <f>H16+H50</f>
        <v>159</v>
      </c>
      <c r="AE16" s="45">
        <f>I16+I50</f>
        <v>0</v>
      </c>
      <c r="AF16" s="45">
        <f>J16+J50</f>
        <v>508</v>
      </c>
      <c r="AG16" s="45">
        <f>K16+K50</f>
        <v>77</v>
      </c>
      <c r="AH16" s="45">
        <f>L16+L50</f>
        <v>0</v>
      </c>
      <c r="AI16" s="45">
        <f>M16+M50</f>
        <v>1</v>
      </c>
      <c r="AJ16" s="45">
        <f>N16+N50</f>
        <v>0</v>
      </c>
      <c r="AK16" s="45">
        <f>O16+O50</f>
        <v>0</v>
      </c>
      <c r="AL16" s="45">
        <f>P16+P50</f>
        <v>0</v>
      </c>
      <c r="AM16" s="45">
        <f>Q16+Q50</f>
        <v>999</v>
      </c>
      <c r="AN16" s="45">
        <f>R16+R50</f>
        <v>347</v>
      </c>
      <c r="AO16" s="45">
        <f>S16+S50</f>
        <v>1346</v>
      </c>
      <c r="AP16" s="45">
        <f>T16+T50</f>
        <v>0</v>
      </c>
      <c r="AQ16" s="45">
        <f>U16+U50</f>
        <v>1346</v>
      </c>
      <c r="AR16" s="45">
        <f>V16+V50</f>
        <v>1986</v>
      </c>
    </row>
    <row r="17" spans="1:44" x14ac:dyDescent="0.3">
      <c r="A17" s="62" t="str">
        <f>'Day-3'!A17</f>
        <v>19:00-20:00</v>
      </c>
      <c r="B17" s="108">
        <v>172</v>
      </c>
      <c r="C17" s="140">
        <v>28</v>
      </c>
      <c r="D17" s="108">
        <v>30</v>
      </c>
      <c r="E17" s="108">
        <v>25</v>
      </c>
      <c r="F17" s="108">
        <v>26</v>
      </c>
      <c r="G17" s="108">
        <v>15</v>
      </c>
      <c r="H17" s="108">
        <v>92</v>
      </c>
      <c r="I17" s="108">
        <v>0</v>
      </c>
      <c r="J17" s="108">
        <v>182</v>
      </c>
      <c r="K17" s="108">
        <v>38</v>
      </c>
      <c r="L17" s="108">
        <v>0</v>
      </c>
      <c r="M17" s="108">
        <v>3</v>
      </c>
      <c r="N17" s="108">
        <v>0</v>
      </c>
      <c r="O17" s="108">
        <v>0</v>
      </c>
      <c r="P17" s="108">
        <v>0</v>
      </c>
      <c r="Q17" s="63">
        <f t="shared" si="0"/>
        <v>420</v>
      </c>
      <c r="R17" s="45">
        <f t="shared" si="5"/>
        <v>191</v>
      </c>
      <c r="S17" s="45">
        <f t="shared" si="1"/>
        <v>611</v>
      </c>
      <c r="T17" s="45">
        <f t="shared" si="6"/>
        <v>0</v>
      </c>
      <c r="U17" s="45">
        <f t="shared" si="2"/>
        <v>611</v>
      </c>
      <c r="V17" s="46">
        <f t="shared" si="3"/>
        <v>1003</v>
      </c>
      <c r="W17" s="47" t="str">
        <f t="shared" si="4"/>
        <v>19:00-20:00</v>
      </c>
      <c r="X17" s="45">
        <f>B17+B51</f>
        <v>308</v>
      </c>
      <c r="Y17" s="45">
        <f>C17+C51</f>
        <v>50</v>
      </c>
      <c r="Z17" s="45">
        <f>D17+D51</f>
        <v>40</v>
      </c>
      <c r="AA17" s="45">
        <f>E17+E51</f>
        <v>40</v>
      </c>
      <c r="AB17" s="45">
        <f>F17+F51</f>
        <v>45</v>
      </c>
      <c r="AC17" s="45">
        <f>G17+G51</f>
        <v>38</v>
      </c>
      <c r="AD17" s="45">
        <f>H17+H51</f>
        <v>141</v>
      </c>
      <c r="AE17" s="45">
        <f>I17+I51</f>
        <v>0</v>
      </c>
      <c r="AF17" s="45">
        <f>J17+J51</f>
        <v>344</v>
      </c>
      <c r="AG17" s="45">
        <f>K17+K51</f>
        <v>47</v>
      </c>
      <c r="AH17" s="45">
        <f>L17+L51</f>
        <v>0</v>
      </c>
      <c r="AI17" s="45">
        <f>M17+M51</f>
        <v>3</v>
      </c>
      <c r="AJ17" s="45">
        <f>N17+N51</f>
        <v>0</v>
      </c>
      <c r="AK17" s="45">
        <f>O17+O51</f>
        <v>0</v>
      </c>
      <c r="AL17" s="45">
        <f>P17+P51</f>
        <v>0</v>
      </c>
      <c r="AM17" s="45">
        <f>Q17+Q51</f>
        <v>749</v>
      </c>
      <c r="AN17" s="45">
        <f>R17+R51</f>
        <v>307</v>
      </c>
      <c r="AO17" s="45">
        <f>S17+S51</f>
        <v>1056</v>
      </c>
      <c r="AP17" s="45">
        <f>T17+T51</f>
        <v>0</v>
      </c>
      <c r="AQ17" s="45">
        <f>U17+U51</f>
        <v>1056</v>
      </c>
      <c r="AR17" s="45">
        <f>V17+V51</f>
        <v>1674</v>
      </c>
    </row>
    <row r="18" spans="1:44" x14ac:dyDescent="0.3">
      <c r="A18" s="62" t="str">
        <f>'Day-3'!A18</f>
        <v>20:00-21:00</v>
      </c>
      <c r="B18" s="108">
        <v>102</v>
      </c>
      <c r="C18" s="140">
        <v>27</v>
      </c>
      <c r="D18" s="108">
        <v>19</v>
      </c>
      <c r="E18" s="108">
        <v>30</v>
      </c>
      <c r="F18" s="108">
        <v>32</v>
      </c>
      <c r="G18" s="108">
        <v>21</v>
      </c>
      <c r="H18" s="108">
        <v>85</v>
      </c>
      <c r="I18" s="108">
        <v>0</v>
      </c>
      <c r="J18" s="108">
        <v>56</v>
      </c>
      <c r="K18" s="108">
        <v>19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63">
        <f t="shared" si="0"/>
        <v>204</v>
      </c>
      <c r="R18" s="45">
        <f t="shared" si="5"/>
        <v>187</v>
      </c>
      <c r="S18" s="45">
        <f t="shared" si="1"/>
        <v>391</v>
      </c>
      <c r="T18" s="45">
        <f t="shared" si="6"/>
        <v>0</v>
      </c>
      <c r="U18" s="45">
        <f t="shared" si="2"/>
        <v>391</v>
      </c>
      <c r="V18" s="46">
        <f t="shared" si="3"/>
        <v>835.5</v>
      </c>
      <c r="W18" s="47" t="str">
        <f t="shared" si="4"/>
        <v>20:00-21:00</v>
      </c>
      <c r="X18" s="45">
        <f>B18+B52</f>
        <v>229</v>
      </c>
      <c r="Y18" s="45">
        <f>C18+C52</f>
        <v>42</v>
      </c>
      <c r="Z18" s="45">
        <f>D18+D52</f>
        <v>36</v>
      </c>
      <c r="AA18" s="45">
        <f>E18+E52</f>
        <v>41</v>
      </c>
      <c r="AB18" s="45">
        <f>F18+F52</f>
        <v>50</v>
      </c>
      <c r="AC18" s="45">
        <f>G18+G52</f>
        <v>34</v>
      </c>
      <c r="AD18" s="45">
        <f>H18+H52</f>
        <v>131</v>
      </c>
      <c r="AE18" s="45">
        <f>I18+I52</f>
        <v>0</v>
      </c>
      <c r="AF18" s="45">
        <f>J18+J52</f>
        <v>179</v>
      </c>
      <c r="AG18" s="45">
        <f>K18+K52</f>
        <v>19</v>
      </c>
      <c r="AH18" s="45">
        <f>L18+L52</f>
        <v>0</v>
      </c>
      <c r="AI18" s="45">
        <f>M18+M52</f>
        <v>0</v>
      </c>
      <c r="AJ18" s="45">
        <f>N18+N52</f>
        <v>0</v>
      </c>
      <c r="AK18" s="45">
        <f>O18+O52</f>
        <v>0</v>
      </c>
      <c r="AL18" s="45">
        <f>P18+P52</f>
        <v>0</v>
      </c>
      <c r="AM18" s="45">
        <f>Q18+Q52</f>
        <v>469</v>
      </c>
      <c r="AN18" s="45">
        <f>R18+R52</f>
        <v>292</v>
      </c>
      <c r="AO18" s="45">
        <f>S18+S52</f>
        <v>761</v>
      </c>
      <c r="AP18" s="45">
        <f>T18+T52</f>
        <v>0</v>
      </c>
      <c r="AQ18" s="45">
        <f>U18+U52</f>
        <v>761</v>
      </c>
      <c r="AR18" s="45">
        <f>V18+V52</f>
        <v>1402.5</v>
      </c>
    </row>
    <row r="19" spans="1:44" x14ac:dyDescent="0.3">
      <c r="A19" s="62" t="str">
        <f>'Day-3'!A19</f>
        <v>21:00-22:00</v>
      </c>
      <c r="B19" s="108">
        <v>91</v>
      </c>
      <c r="C19" s="142">
        <v>33</v>
      </c>
      <c r="D19" s="108">
        <v>27</v>
      </c>
      <c r="E19" s="108">
        <v>38</v>
      </c>
      <c r="F19" s="108">
        <v>45</v>
      </c>
      <c r="G19" s="108">
        <v>19</v>
      </c>
      <c r="H19" s="108">
        <v>127</v>
      </c>
      <c r="I19" s="108">
        <v>0</v>
      </c>
      <c r="J19" s="108">
        <v>105</v>
      </c>
      <c r="K19" s="108">
        <v>11</v>
      </c>
      <c r="L19" s="108">
        <v>0</v>
      </c>
      <c r="M19" s="108">
        <v>2</v>
      </c>
      <c r="N19" s="108">
        <v>0</v>
      </c>
      <c r="O19" s="108">
        <v>0</v>
      </c>
      <c r="P19" s="108">
        <v>0</v>
      </c>
      <c r="Q19" s="66">
        <f t="shared" si="0"/>
        <v>240</v>
      </c>
      <c r="R19" s="59">
        <f t="shared" si="5"/>
        <v>258</v>
      </c>
      <c r="S19" s="59">
        <f t="shared" si="1"/>
        <v>498</v>
      </c>
      <c r="T19" s="59">
        <f t="shared" si="6"/>
        <v>0</v>
      </c>
      <c r="U19" s="59">
        <f t="shared" si="2"/>
        <v>498</v>
      </c>
      <c r="V19" s="60">
        <f t="shared" si="3"/>
        <v>1110</v>
      </c>
      <c r="W19" s="47" t="str">
        <f t="shared" si="4"/>
        <v>21:00-22:00</v>
      </c>
      <c r="X19" s="45">
        <f>B19+B53</f>
        <v>218</v>
      </c>
      <c r="Y19" s="45">
        <f>C19+C53</f>
        <v>49</v>
      </c>
      <c r="Z19" s="45">
        <f>D19+D53</f>
        <v>32</v>
      </c>
      <c r="AA19" s="45">
        <f>E19+E53</f>
        <v>45</v>
      </c>
      <c r="AB19" s="45">
        <f>F19+F53</f>
        <v>73</v>
      </c>
      <c r="AC19" s="45">
        <f>G19+G53</f>
        <v>40</v>
      </c>
      <c r="AD19" s="45">
        <f>H19+H53</f>
        <v>171</v>
      </c>
      <c r="AE19" s="45">
        <f>I19+I53</f>
        <v>0</v>
      </c>
      <c r="AF19" s="45">
        <f>J19+J53</f>
        <v>186</v>
      </c>
      <c r="AG19" s="45">
        <f>K19+K53</f>
        <v>17</v>
      </c>
      <c r="AH19" s="45">
        <f>L19+L53</f>
        <v>0</v>
      </c>
      <c r="AI19" s="45">
        <f>M19+M53</f>
        <v>2</v>
      </c>
      <c r="AJ19" s="45">
        <f>N19+N53</f>
        <v>0</v>
      </c>
      <c r="AK19" s="45">
        <f>O19+O53</f>
        <v>0</v>
      </c>
      <c r="AL19" s="45">
        <f>P19+P53</f>
        <v>0</v>
      </c>
      <c r="AM19" s="45">
        <f>Q19+Q53</f>
        <v>470</v>
      </c>
      <c r="AN19" s="45">
        <f>R19+R53</f>
        <v>363</v>
      </c>
      <c r="AO19" s="45">
        <f>S19+S53</f>
        <v>833</v>
      </c>
      <c r="AP19" s="45">
        <f>T19+T53</f>
        <v>0</v>
      </c>
      <c r="AQ19" s="45">
        <f>U19+U53</f>
        <v>833</v>
      </c>
      <c r="AR19" s="45">
        <f>V19+V53</f>
        <v>1692</v>
      </c>
    </row>
    <row r="20" spans="1:44" x14ac:dyDescent="0.3">
      <c r="A20" s="62" t="str">
        <f>'Day-3'!A20</f>
        <v>22:00-23:00</v>
      </c>
      <c r="B20" s="108">
        <v>40</v>
      </c>
      <c r="C20" s="140">
        <v>23</v>
      </c>
      <c r="D20" s="108">
        <v>17</v>
      </c>
      <c r="E20" s="108">
        <v>25</v>
      </c>
      <c r="F20" s="108">
        <v>24</v>
      </c>
      <c r="G20" s="108">
        <v>21</v>
      </c>
      <c r="H20" s="108">
        <v>97</v>
      </c>
      <c r="I20" s="108">
        <v>0</v>
      </c>
      <c r="J20" s="108">
        <v>40</v>
      </c>
      <c r="K20" s="108">
        <v>11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66">
        <f t="shared" si="0"/>
        <v>114</v>
      </c>
      <c r="R20" s="59">
        <f t="shared" si="5"/>
        <v>184</v>
      </c>
      <c r="S20" s="59">
        <f t="shared" si="1"/>
        <v>298</v>
      </c>
      <c r="T20" s="59">
        <f t="shared" si="6"/>
        <v>0</v>
      </c>
      <c r="U20" s="59">
        <f t="shared" si="2"/>
        <v>298</v>
      </c>
      <c r="V20" s="60">
        <f t="shared" si="3"/>
        <v>766</v>
      </c>
      <c r="W20" s="47" t="str">
        <f t="shared" si="4"/>
        <v>22:00-23:00</v>
      </c>
      <c r="X20" s="45">
        <f>B20+B54</f>
        <v>128</v>
      </c>
      <c r="Y20" s="45">
        <f>C20+C54</f>
        <v>30</v>
      </c>
      <c r="Z20" s="45">
        <f>D20+D54</f>
        <v>28</v>
      </c>
      <c r="AA20" s="45">
        <f>E20+E54</f>
        <v>53</v>
      </c>
      <c r="AB20" s="45">
        <f>F20+F54</f>
        <v>60</v>
      </c>
      <c r="AC20" s="45">
        <f>G20+G54</f>
        <v>56</v>
      </c>
      <c r="AD20" s="45">
        <f>H20+H54</f>
        <v>139</v>
      </c>
      <c r="AE20" s="45">
        <f>I20+I54</f>
        <v>0</v>
      </c>
      <c r="AF20" s="45">
        <f>J20+J54</f>
        <v>76</v>
      </c>
      <c r="AG20" s="45">
        <f>K20+K54</f>
        <v>13</v>
      </c>
      <c r="AH20" s="45">
        <f>L20+L54</f>
        <v>0</v>
      </c>
      <c r="AI20" s="45">
        <f>M20+M54</f>
        <v>0</v>
      </c>
      <c r="AJ20" s="45">
        <f>N20+N54</f>
        <v>0</v>
      </c>
      <c r="AK20" s="45">
        <f>O20+O54</f>
        <v>0</v>
      </c>
      <c r="AL20" s="45">
        <f>P20+P54</f>
        <v>0</v>
      </c>
      <c r="AM20" s="45">
        <f>Q20+Q54</f>
        <v>247</v>
      </c>
      <c r="AN20" s="45">
        <f>R20+R54</f>
        <v>336</v>
      </c>
      <c r="AO20" s="45">
        <f>S20+S54</f>
        <v>583</v>
      </c>
      <c r="AP20" s="45">
        <f>T20+T54</f>
        <v>0</v>
      </c>
      <c r="AQ20" s="45">
        <f>U20+U54</f>
        <v>583</v>
      </c>
      <c r="AR20" s="45">
        <f>V20+V54</f>
        <v>1350</v>
      </c>
    </row>
    <row r="21" spans="1:44" x14ac:dyDescent="0.3">
      <c r="A21" s="62" t="str">
        <f>'Day-3'!A21</f>
        <v>23:00-00:00</v>
      </c>
      <c r="B21" s="108">
        <v>27</v>
      </c>
      <c r="C21" s="140">
        <v>17</v>
      </c>
      <c r="D21" s="108">
        <v>14</v>
      </c>
      <c r="E21" s="108">
        <v>21</v>
      </c>
      <c r="F21" s="108">
        <v>17</v>
      </c>
      <c r="G21" s="108">
        <v>12</v>
      </c>
      <c r="H21" s="108">
        <v>74</v>
      </c>
      <c r="I21" s="108">
        <v>0</v>
      </c>
      <c r="J21" s="108">
        <v>15</v>
      </c>
      <c r="K21" s="108">
        <v>6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66">
        <f t="shared" si="0"/>
        <v>65</v>
      </c>
      <c r="R21" s="59">
        <f t="shared" si="5"/>
        <v>138</v>
      </c>
      <c r="S21" s="59">
        <f t="shared" si="1"/>
        <v>203</v>
      </c>
      <c r="T21" s="59">
        <f t="shared" si="6"/>
        <v>0</v>
      </c>
      <c r="U21" s="59">
        <f t="shared" si="2"/>
        <v>203</v>
      </c>
      <c r="V21" s="60">
        <f t="shared" si="3"/>
        <v>557</v>
      </c>
      <c r="W21" s="47" t="str">
        <f t="shared" si="4"/>
        <v>23:00-00:00</v>
      </c>
      <c r="X21" s="45">
        <f>B21+B55</f>
        <v>90</v>
      </c>
      <c r="Y21" s="45">
        <f>C21+C55</f>
        <v>19</v>
      </c>
      <c r="Z21" s="45">
        <f>D21+D55</f>
        <v>23</v>
      </c>
      <c r="AA21" s="45">
        <f>E21+E55</f>
        <v>37</v>
      </c>
      <c r="AB21" s="45">
        <f>F21+F55</f>
        <v>52</v>
      </c>
      <c r="AC21" s="45">
        <f>G21+G55</f>
        <v>35</v>
      </c>
      <c r="AD21" s="45">
        <f>H21+H55</f>
        <v>111</v>
      </c>
      <c r="AE21" s="45">
        <f>I21+I55</f>
        <v>0</v>
      </c>
      <c r="AF21" s="45">
        <f>J21+J55</f>
        <v>43</v>
      </c>
      <c r="AG21" s="45">
        <f>K21+K55</f>
        <v>6</v>
      </c>
      <c r="AH21" s="45">
        <f>L21+L55</f>
        <v>0</v>
      </c>
      <c r="AI21" s="45">
        <f>M21+M55</f>
        <v>0</v>
      </c>
      <c r="AJ21" s="45">
        <f>N21+N55</f>
        <v>0</v>
      </c>
      <c r="AK21" s="45">
        <f>O21+O55</f>
        <v>0</v>
      </c>
      <c r="AL21" s="45">
        <f>P21+P55</f>
        <v>0</v>
      </c>
      <c r="AM21" s="45">
        <f>Q21+Q55</f>
        <v>158</v>
      </c>
      <c r="AN21" s="45">
        <f>R21+R55</f>
        <v>258</v>
      </c>
      <c r="AO21" s="45">
        <f>S21+S55</f>
        <v>416</v>
      </c>
      <c r="AP21" s="45">
        <f>T21+T55</f>
        <v>0</v>
      </c>
      <c r="AQ21" s="45">
        <f>U21+U55</f>
        <v>416</v>
      </c>
      <c r="AR21" s="45">
        <f>V21+V55</f>
        <v>1013.5</v>
      </c>
    </row>
    <row r="22" spans="1:44" x14ac:dyDescent="0.3">
      <c r="A22" s="62" t="str">
        <f>'Day-3'!A22</f>
        <v>00:00-01:00</v>
      </c>
      <c r="B22" s="108">
        <v>12</v>
      </c>
      <c r="C22" s="140">
        <v>6</v>
      </c>
      <c r="D22" s="108">
        <v>8</v>
      </c>
      <c r="E22" s="108">
        <v>14</v>
      </c>
      <c r="F22" s="108">
        <v>10</v>
      </c>
      <c r="G22" s="108">
        <v>14</v>
      </c>
      <c r="H22" s="108">
        <v>84</v>
      </c>
      <c r="I22" s="108">
        <v>0</v>
      </c>
      <c r="J22" s="108">
        <v>7</v>
      </c>
      <c r="K22" s="108">
        <v>3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66">
        <f t="shared" si="0"/>
        <v>28</v>
      </c>
      <c r="R22" s="59">
        <f t="shared" si="5"/>
        <v>130</v>
      </c>
      <c r="S22" s="59">
        <f t="shared" si="1"/>
        <v>158</v>
      </c>
      <c r="T22" s="59">
        <f t="shared" si="6"/>
        <v>0</v>
      </c>
      <c r="U22" s="59">
        <f t="shared" si="2"/>
        <v>158</v>
      </c>
      <c r="V22" s="60">
        <f t="shared" si="3"/>
        <v>515.5</v>
      </c>
      <c r="W22" s="47" t="str">
        <f t="shared" si="4"/>
        <v>00:00-01:00</v>
      </c>
      <c r="X22" s="45">
        <f>B22+B56</f>
        <v>37</v>
      </c>
      <c r="Y22" s="45">
        <f>C22+C56</f>
        <v>10</v>
      </c>
      <c r="Z22" s="45">
        <f>D22+D56</f>
        <v>19</v>
      </c>
      <c r="AA22" s="45">
        <f>E22+E56</f>
        <v>35</v>
      </c>
      <c r="AB22" s="45">
        <f>F22+F56</f>
        <v>39</v>
      </c>
      <c r="AC22" s="45">
        <f>G22+G56</f>
        <v>46</v>
      </c>
      <c r="AD22" s="45">
        <f>H22+H56</f>
        <v>129</v>
      </c>
      <c r="AE22" s="45">
        <f>I22+I56</f>
        <v>0</v>
      </c>
      <c r="AF22" s="45">
        <f>J22+J56</f>
        <v>30</v>
      </c>
      <c r="AG22" s="45">
        <f>K22+K56</f>
        <v>3</v>
      </c>
      <c r="AH22" s="45">
        <f>L22+L56</f>
        <v>0</v>
      </c>
      <c r="AI22" s="45">
        <f>M22+M56</f>
        <v>0</v>
      </c>
      <c r="AJ22" s="45">
        <f>N22+N56</f>
        <v>0</v>
      </c>
      <c r="AK22" s="45">
        <f>O22+O56</f>
        <v>0</v>
      </c>
      <c r="AL22" s="45">
        <f>P22+P56</f>
        <v>0</v>
      </c>
      <c r="AM22" s="45">
        <f>Q22+Q56</f>
        <v>80</v>
      </c>
      <c r="AN22" s="45">
        <f>R22+R56</f>
        <v>268</v>
      </c>
      <c r="AO22" s="45">
        <f>S22+S56</f>
        <v>348</v>
      </c>
      <c r="AP22" s="45">
        <f>T22+T56</f>
        <v>0</v>
      </c>
      <c r="AQ22" s="45">
        <f>U22+U56</f>
        <v>348</v>
      </c>
      <c r="AR22" s="45">
        <f>V22+V56</f>
        <v>992</v>
      </c>
    </row>
    <row r="23" spans="1:44" x14ac:dyDescent="0.3">
      <c r="A23" s="62" t="str">
        <f>'Day-3'!A23</f>
        <v>01:00-02:00</v>
      </c>
      <c r="B23" s="108">
        <v>8</v>
      </c>
      <c r="C23" s="140">
        <v>0</v>
      </c>
      <c r="D23" s="108">
        <v>14</v>
      </c>
      <c r="E23" s="108">
        <v>10</v>
      </c>
      <c r="F23" s="108">
        <v>16</v>
      </c>
      <c r="G23" s="108">
        <v>12</v>
      </c>
      <c r="H23" s="108">
        <v>71</v>
      </c>
      <c r="I23" s="108">
        <v>0</v>
      </c>
      <c r="J23" s="108">
        <v>4</v>
      </c>
      <c r="K23" s="108">
        <v>3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0"/>
        <v>15</v>
      </c>
      <c r="R23" s="59">
        <f t="shared" si="5"/>
        <v>123</v>
      </c>
      <c r="S23" s="59">
        <f t="shared" si="1"/>
        <v>138</v>
      </c>
      <c r="T23" s="59">
        <f t="shared" si="6"/>
        <v>0</v>
      </c>
      <c r="U23" s="59">
        <f t="shared" si="2"/>
        <v>138</v>
      </c>
      <c r="V23" s="60">
        <f t="shared" si="3"/>
        <v>445.5</v>
      </c>
      <c r="W23" s="47" t="str">
        <f t="shared" si="4"/>
        <v>01:00-02:00</v>
      </c>
      <c r="X23" s="45">
        <f>B23+B57</f>
        <v>25</v>
      </c>
      <c r="Y23" s="45">
        <f>C23+C57</f>
        <v>4</v>
      </c>
      <c r="Z23" s="45">
        <f>D23+D57</f>
        <v>25</v>
      </c>
      <c r="AA23" s="45">
        <f>E23+E57</f>
        <v>19</v>
      </c>
      <c r="AB23" s="45">
        <f>F23+F57</f>
        <v>46</v>
      </c>
      <c r="AC23" s="45">
        <f>G23+G57</f>
        <v>36</v>
      </c>
      <c r="AD23" s="45">
        <f>H23+H57</f>
        <v>134</v>
      </c>
      <c r="AE23" s="45">
        <f>I23+I57</f>
        <v>0</v>
      </c>
      <c r="AF23" s="45">
        <f>J23+J57</f>
        <v>11</v>
      </c>
      <c r="AG23" s="45">
        <f>K23+K57</f>
        <v>6</v>
      </c>
      <c r="AH23" s="45">
        <f>L23+L57</f>
        <v>0</v>
      </c>
      <c r="AI23" s="45">
        <f>M23+M57</f>
        <v>0</v>
      </c>
      <c r="AJ23" s="45">
        <f>N23+N57</f>
        <v>0</v>
      </c>
      <c r="AK23" s="45">
        <f>O23+O57</f>
        <v>0</v>
      </c>
      <c r="AL23" s="45">
        <f>P23+P57</f>
        <v>0</v>
      </c>
      <c r="AM23" s="45">
        <f>Q23+Q57</f>
        <v>46</v>
      </c>
      <c r="AN23" s="45">
        <f>R23+R57</f>
        <v>260</v>
      </c>
      <c r="AO23" s="45">
        <f>S23+S57</f>
        <v>306</v>
      </c>
      <c r="AP23" s="45">
        <f>T23+T57</f>
        <v>0</v>
      </c>
      <c r="AQ23" s="45">
        <f>U23+U57</f>
        <v>306</v>
      </c>
      <c r="AR23" s="45">
        <f>V23+V57</f>
        <v>951</v>
      </c>
    </row>
    <row r="24" spans="1:44" x14ac:dyDescent="0.3">
      <c r="A24" s="62" t="str">
        <f>'Day-3'!A24</f>
        <v>02:00-03:00</v>
      </c>
      <c r="B24" s="108">
        <v>21</v>
      </c>
      <c r="C24" s="140">
        <v>2</v>
      </c>
      <c r="D24" s="108">
        <v>9</v>
      </c>
      <c r="E24" s="108">
        <v>7</v>
      </c>
      <c r="F24" s="108">
        <v>18</v>
      </c>
      <c r="G24" s="108">
        <v>12</v>
      </c>
      <c r="H24" s="108">
        <v>50</v>
      </c>
      <c r="I24" s="108">
        <v>0</v>
      </c>
      <c r="J24" s="108">
        <v>3</v>
      </c>
      <c r="K24" s="108">
        <v>0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0"/>
        <v>26</v>
      </c>
      <c r="R24" s="59">
        <f t="shared" si="5"/>
        <v>96</v>
      </c>
      <c r="S24" s="59">
        <f t="shared" si="1"/>
        <v>122</v>
      </c>
      <c r="T24" s="59">
        <f t="shared" si="6"/>
        <v>0</v>
      </c>
      <c r="U24" s="59">
        <f t="shared" si="2"/>
        <v>122</v>
      </c>
      <c r="V24" s="60">
        <f t="shared" si="3"/>
        <v>363</v>
      </c>
      <c r="W24" s="47" t="str">
        <f t="shared" si="4"/>
        <v>02:00-03:00</v>
      </c>
      <c r="X24" s="45">
        <f>B24+B58</f>
        <v>32</v>
      </c>
      <c r="Y24" s="45">
        <f>C24+C58</f>
        <v>5</v>
      </c>
      <c r="Z24" s="45">
        <f>D24+D58</f>
        <v>14</v>
      </c>
      <c r="AA24" s="45">
        <f>E24+E58</f>
        <v>31</v>
      </c>
      <c r="AB24" s="45">
        <f>F24+F58</f>
        <v>44</v>
      </c>
      <c r="AC24" s="45">
        <f>G24+G58</f>
        <v>38</v>
      </c>
      <c r="AD24" s="45">
        <f>H24+H58</f>
        <v>94</v>
      </c>
      <c r="AE24" s="45">
        <f>I24+I58</f>
        <v>0</v>
      </c>
      <c r="AF24" s="45">
        <f>J24+J58</f>
        <v>3</v>
      </c>
      <c r="AG24" s="45">
        <f>K24+K58</f>
        <v>0</v>
      </c>
      <c r="AH24" s="45">
        <f>L24+L58</f>
        <v>0</v>
      </c>
      <c r="AI24" s="45">
        <f>M24+M58</f>
        <v>2</v>
      </c>
      <c r="AJ24" s="45">
        <f>N24+N58</f>
        <v>0</v>
      </c>
      <c r="AK24" s="45">
        <f>O24+O58</f>
        <v>0</v>
      </c>
      <c r="AL24" s="45">
        <f>P24+P58</f>
        <v>0</v>
      </c>
      <c r="AM24" s="45">
        <f>Q24+Q58</f>
        <v>40</v>
      </c>
      <c r="AN24" s="45">
        <f>R24+R58</f>
        <v>223</v>
      </c>
      <c r="AO24" s="45">
        <f>S24+S58</f>
        <v>263</v>
      </c>
      <c r="AP24" s="45">
        <f>T24+T58</f>
        <v>0</v>
      </c>
      <c r="AQ24" s="45">
        <f>U24+U58</f>
        <v>263</v>
      </c>
      <c r="AR24" s="45">
        <f>V24+V58</f>
        <v>787</v>
      </c>
    </row>
    <row r="25" spans="1:44" x14ac:dyDescent="0.3">
      <c r="A25" s="62" t="str">
        <f>'Day-3'!A25</f>
        <v>03:00-04:00</v>
      </c>
      <c r="B25" s="108">
        <v>24</v>
      </c>
      <c r="C25" s="140">
        <v>3</v>
      </c>
      <c r="D25" s="108">
        <v>5</v>
      </c>
      <c r="E25" s="108">
        <v>4</v>
      </c>
      <c r="F25" s="108">
        <v>11</v>
      </c>
      <c r="G25" s="108">
        <v>11</v>
      </c>
      <c r="H25" s="108">
        <v>72</v>
      </c>
      <c r="I25" s="108">
        <v>0</v>
      </c>
      <c r="J25" s="108">
        <v>7</v>
      </c>
      <c r="K25" s="108">
        <v>3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0"/>
        <v>37</v>
      </c>
      <c r="R25" s="59">
        <f t="shared" si="5"/>
        <v>103</v>
      </c>
      <c r="S25" s="59">
        <f t="shared" si="1"/>
        <v>140</v>
      </c>
      <c r="T25" s="59">
        <f t="shared" si="6"/>
        <v>0</v>
      </c>
      <c r="U25" s="59">
        <f t="shared" si="2"/>
        <v>140</v>
      </c>
      <c r="V25" s="60">
        <f t="shared" si="3"/>
        <v>440.5</v>
      </c>
      <c r="W25" s="47" t="str">
        <f t="shared" si="4"/>
        <v>03:00-04:00</v>
      </c>
      <c r="X25" s="45">
        <f>B25+B59</f>
        <v>38</v>
      </c>
      <c r="Y25" s="45">
        <f>C25+C59</f>
        <v>9</v>
      </c>
      <c r="Z25" s="45">
        <f>D25+D59</f>
        <v>11</v>
      </c>
      <c r="AA25" s="45">
        <f>E25+E59</f>
        <v>25</v>
      </c>
      <c r="AB25" s="45">
        <f>F25+F59</f>
        <v>43</v>
      </c>
      <c r="AC25" s="45">
        <f>G25+G59</f>
        <v>37</v>
      </c>
      <c r="AD25" s="45">
        <f>H25+H59</f>
        <v>128</v>
      </c>
      <c r="AE25" s="45">
        <f>I25+I59</f>
        <v>0</v>
      </c>
      <c r="AF25" s="45">
        <f>J25+J59</f>
        <v>11</v>
      </c>
      <c r="AG25" s="45">
        <f>K25+K59</f>
        <v>5</v>
      </c>
      <c r="AH25" s="45">
        <f>L25+L59</f>
        <v>0</v>
      </c>
      <c r="AI25" s="45">
        <f>M25+M59</f>
        <v>0</v>
      </c>
      <c r="AJ25" s="45">
        <f>N25+N59</f>
        <v>0</v>
      </c>
      <c r="AK25" s="45">
        <f>O25+O59</f>
        <v>0</v>
      </c>
      <c r="AL25" s="45">
        <f>P25+P59</f>
        <v>0</v>
      </c>
      <c r="AM25" s="45">
        <f>Q25+Q59</f>
        <v>63</v>
      </c>
      <c r="AN25" s="45">
        <f>R25+R59</f>
        <v>244</v>
      </c>
      <c r="AO25" s="45">
        <f>S25+S59</f>
        <v>307</v>
      </c>
      <c r="AP25" s="45">
        <f>T25+T59</f>
        <v>0</v>
      </c>
      <c r="AQ25" s="45">
        <f>U25+U59</f>
        <v>307</v>
      </c>
      <c r="AR25" s="45">
        <f>V25+V59</f>
        <v>940</v>
      </c>
    </row>
    <row r="26" spans="1:44" x14ac:dyDescent="0.3">
      <c r="A26" s="62" t="str">
        <f>'Day-3'!A26</f>
        <v>04:00-05:00</v>
      </c>
      <c r="B26" s="108">
        <v>22</v>
      </c>
      <c r="C26" s="140">
        <v>0</v>
      </c>
      <c r="D26" s="108">
        <v>11</v>
      </c>
      <c r="E26" s="108">
        <v>13</v>
      </c>
      <c r="F26" s="108">
        <v>22</v>
      </c>
      <c r="G26" s="108">
        <v>16</v>
      </c>
      <c r="H26" s="108">
        <v>62</v>
      </c>
      <c r="I26" s="108">
        <v>0</v>
      </c>
      <c r="J26" s="108">
        <v>22</v>
      </c>
      <c r="K26" s="108">
        <v>10</v>
      </c>
      <c r="L26" s="108">
        <v>0</v>
      </c>
      <c r="M26" s="108">
        <v>3</v>
      </c>
      <c r="N26" s="108">
        <v>0</v>
      </c>
      <c r="O26" s="108">
        <v>0</v>
      </c>
      <c r="P26" s="108">
        <v>0</v>
      </c>
      <c r="Q26" s="66">
        <f t="shared" si="0"/>
        <v>54</v>
      </c>
      <c r="R26" s="59">
        <f t="shared" si="5"/>
        <v>127</v>
      </c>
      <c r="S26" s="59">
        <f t="shared" si="1"/>
        <v>181</v>
      </c>
      <c r="T26" s="59">
        <f t="shared" si="6"/>
        <v>0</v>
      </c>
      <c r="U26" s="59">
        <f t="shared" si="2"/>
        <v>181</v>
      </c>
      <c r="V26" s="60">
        <f t="shared" si="3"/>
        <v>480</v>
      </c>
      <c r="W26" s="47" t="str">
        <f t="shared" si="4"/>
        <v>04:00-05:00</v>
      </c>
      <c r="X26" s="45">
        <f>B26+B60</f>
        <v>35</v>
      </c>
      <c r="Y26" s="45">
        <f>C26+C60</f>
        <v>5</v>
      </c>
      <c r="Z26" s="45">
        <f>D26+D60</f>
        <v>19</v>
      </c>
      <c r="AA26" s="45">
        <f>E26+E60</f>
        <v>30</v>
      </c>
      <c r="AB26" s="45">
        <f>F26+F60</f>
        <v>49</v>
      </c>
      <c r="AC26" s="45">
        <f>G26+G60</f>
        <v>59</v>
      </c>
      <c r="AD26" s="45">
        <f>H26+H60</f>
        <v>92</v>
      </c>
      <c r="AE26" s="45">
        <f>I26+I60</f>
        <v>0</v>
      </c>
      <c r="AF26" s="45">
        <f>J26+J60</f>
        <v>43</v>
      </c>
      <c r="AG26" s="45">
        <f>K26+K60</f>
        <v>14</v>
      </c>
      <c r="AH26" s="45">
        <f>L26+L60</f>
        <v>0</v>
      </c>
      <c r="AI26" s="45">
        <f>M26+M60</f>
        <v>4</v>
      </c>
      <c r="AJ26" s="45">
        <f>N26+N60</f>
        <v>0</v>
      </c>
      <c r="AK26" s="45">
        <f>O26+O60</f>
        <v>0</v>
      </c>
      <c r="AL26" s="45">
        <f>P26+P60</f>
        <v>0</v>
      </c>
      <c r="AM26" s="45">
        <f>Q26+Q60</f>
        <v>97</v>
      </c>
      <c r="AN26" s="45">
        <f>R26+R60</f>
        <v>253</v>
      </c>
      <c r="AO26" s="45">
        <f>S26+S60</f>
        <v>350</v>
      </c>
      <c r="AP26" s="45">
        <f>T26+T60</f>
        <v>0</v>
      </c>
      <c r="AQ26" s="45">
        <f>U26+U60</f>
        <v>350</v>
      </c>
      <c r="AR26" s="45">
        <f>V26+V60</f>
        <v>905.5</v>
      </c>
    </row>
    <row r="27" spans="1:44" x14ac:dyDescent="0.3">
      <c r="A27" s="62" t="str">
        <f>'Day-3'!A27</f>
        <v>05:00-06:00</v>
      </c>
      <c r="B27" s="108">
        <v>41</v>
      </c>
      <c r="C27" s="140">
        <v>3</v>
      </c>
      <c r="D27" s="108">
        <v>10</v>
      </c>
      <c r="E27" s="108">
        <v>12</v>
      </c>
      <c r="F27" s="108">
        <v>19</v>
      </c>
      <c r="G27" s="108">
        <v>17</v>
      </c>
      <c r="H27" s="108">
        <v>75</v>
      </c>
      <c r="I27" s="108">
        <v>0</v>
      </c>
      <c r="J27" s="108">
        <v>68</v>
      </c>
      <c r="K27" s="108">
        <v>8</v>
      </c>
      <c r="L27" s="108">
        <v>2</v>
      </c>
      <c r="M27" s="108">
        <v>6</v>
      </c>
      <c r="N27" s="108">
        <v>0</v>
      </c>
      <c r="O27" s="108">
        <v>0</v>
      </c>
      <c r="P27" s="108">
        <v>0</v>
      </c>
      <c r="Q27" s="66">
        <f t="shared" si="0"/>
        <v>120</v>
      </c>
      <c r="R27" s="59">
        <f t="shared" si="5"/>
        <v>141</v>
      </c>
      <c r="S27" s="59">
        <f t="shared" si="1"/>
        <v>261</v>
      </c>
      <c r="T27" s="59">
        <f t="shared" si="6"/>
        <v>0</v>
      </c>
      <c r="U27" s="59">
        <f t="shared" si="2"/>
        <v>261</v>
      </c>
      <c r="V27" s="60">
        <f t="shared" si="3"/>
        <v>595.5</v>
      </c>
      <c r="W27" s="47" t="str">
        <f t="shared" si="4"/>
        <v>05:00-06:00</v>
      </c>
      <c r="X27" s="45">
        <f>B27+B61</f>
        <v>60</v>
      </c>
      <c r="Y27" s="45">
        <f>C27+C61</f>
        <v>24</v>
      </c>
      <c r="Z27" s="45">
        <f>D27+D61</f>
        <v>23</v>
      </c>
      <c r="AA27" s="45">
        <f>E27+E61</f>
        <v>30</v>
      </c>
      <c r="AB27" s="45">
        <f>F27+F61</f>
        <v>61</v>
      </c>
      <c r="AC27" s="45">
        <f>G27+G61</f>
        <v>50</v>
      </c>
      <c r="AD27" s="45">
        <f>H27+H61</f>
        <v>131</v>
      </c>
      <c r="AE27" s="45">
        <f>I27+I61</f>
        <v>0</v>
      </c>
      <c r="AF27" s="45">
        <f>J27+J61</f>
        <v>137</v>
      </c>
      <c r="AG27" s="45">
        <f>K27+K61</f>
        <v>19</v>
      </c>
      <c r="AH27" s="45">
        <f>L27+L61</f>
        <v>2</v>
      </c>
      <c r="AI27" s="45">
        <f>M27+M61</f>
        <v>8</v>
      </c>
      <c r="AJ27" s="45">
        <f>N27+N61</f>
        <v>0</v>
      </c>
      <c r="AK27" s="45">
        <f>O27+O61</f>
        <v>0</v>
      </c>
      <c r="AL27" s="45">
        <f>P27+P61</f>
        <v>0</v>
      </c>
      <c r="AM27" s="45">
        <f>Q27+Q61</f>
        <v>240</v>
      </c>
      <c r="AN27" s="45">
        <f>R27+R61</f>
        <v>305</v>
      </c>
      <c r="AO27" s="45">
        <f>S27+S61</f>
        <v>545</v>
      </c>
      <c r="AP27" s="45">
        <f>T27+T61</f>
        <v>0</v>
      </c>
      <c r="AQ27" s="45">
        <f>U27+U61</f>
        <v>545</v>
      </c>
      <c r="AR27" s="45">
        <f>V27+V61</f>
        <v>1249</v>
      </c>
    </row>
    <row r="28" spans="1:44" x14ac:dyDescent="0.3">
      <c r="A28" s="62" t="str">
        <f>'Day-3'!A28</f>
        <v>06:00-07:00</v>
      </c>
      <c r="B28" s="108">
        <v>72</v>
      </c>
      <c r="C28" s="140">
        <v>19</v>
      </c>
      <c r="D28" s="108">
        <v>14</v>
      </c>
      <c r="E28" s="108">
        <v>13</v>
      </c>
      <c r="F28" s="108">
        <v>21</v>
      </c>
      <c r="G28" s="108">
        <v>23</v>
      </c>
      <c r="H28" s="108">
        <v>69</v>
      </c>
      <c r="I28" s="108">
        <v>0</v>
      </c>
      <c r="J28" s="108">
        <v>151</v>
      </c>
      <c r="K28" s="108">
        <v>16</v>
      </c>
      <c r="L28" s="108">
        <v>0</v>
      </c>
      <c r="M28" s="108">
        <v>3</v>
      </c>
      <c r="N28" s="108">
        <v>3</v>
      </c>
      <c r="O28" s="108">
        <v>2</v>
      </c>
      <c r="P28" s="108">
        <v>0</v>
      </c>
      <c r="Q28" s="66">
        <f t="shared" si="0"/>
        <v>263</v>
      </c>
      <c r="R28" s="59">
        <f t="shared" si="5"/>
        <v>143</v>
      </c>
      <c r="S28" s="59">
        <f t="shared" si="1"/>
        <v>406</v>
      </c>
      <c r="T28" s="59">
        <f t="shared" si="6"/>
        <v>5</v>
      </c>
      <c r="U28" s="59">
        <f t="shared" si="2"/>
        <v>406</v>
      </c>
      <c r="V28" s="60">
        <f t="shared" si="3"/>
        <v>715.5</v>
      </c>
      <c r="W28" s="47" t="str">
        <f t="shared" si="4"/>
        <v>06:00-07:00</v>
      </c>
      <c r="X28" s="45">
        <f>B28+B62</f>
        <v>122</v>
      </c>
      <c r="Y28" s="45">
        <f>C28+C62</f>
        <v>47</v>
      </c>
      <c r="Z28" s="45">
        <f>D28+D62</f>
        <v>32</v>
      </c>
      <c r="AA28" s="45">
        <f>E28+E62</f>
        <v>29</v>
      </c>
      <c r="AB28" s="45">
        <f>F28+F62</f>
        <v>48</v>
      </c>
      <c r="AC28" s="45">
        <f>G28+G62</f>
        <v>48</v>
      </c>
      <c r="AD28" s="45">
        <f>H28+H62</f>
        <v>134</v>
      </c>
      <c r="AE28" s="45">
        <f>I28+I62</f>
        <v>0</v>
      </c>
      <c r="AF28" s="45">
        <f>J28+J62</f>
        <v>248</v>
      </c>
      <c r="AG28" s="45">
        <f>K28+K62</f>
        <v>37</v>
      </c>
      <c r="AH28" s="45">
        <f>L28+L62</f>
        <v>3</v>
      </c>
      <c r="AI28" s="45">
        <f>M28+M62</f>
        <v>5</v>
      </c>
      <c r="AJ28" s="45">
        <f>N28+N62</f>
        <v>3</v>
      </c>
      <c r="AK28" s="45">
        <f>O28+O62</f>
        <v>2</v>
      </c>
      <c r="AL28" s="45">
        <f>P28+P62</f>
        <v>0</v>
      </c>
      <c r="AM28" s="45">
        <f>Q28+Q62</f>
        <v>459</v>
      </c>
      <c r="AN28" s="45">
        <f>R28+R62</f>
        <v>299</v>
      </c>
      <c r="AO28" s="45">
        <f>S28+S62</f>
        <v>758</v>
      </c>
      <c r="AP28" s="45">
        <f>T28+T62</f>
        <v>5</v>
      </c>
      <c r="AQ28" s="45">
        <f>U28+U62</f>
        <v>758</v>
      </c>
      <c r="AR28" s="45">
        <f>V28+V62</f>
        <v>1423</v>
      </c>
    </row>
    <row r="29" spans="1:44" x14ac:dyDescent="0.3">
      <c r="A29" s="62" t="str">
        <f>'Day-3'!A29</f>
        <v>07:00-08:00</v>
      </c>
      <c r="B29" s="108">
        <v>82</v>
      </c>
      <c r="C29" s="140">
        <v>22</v>
      </c>
      <c r="D29" s="108">
        <v>12</v>
      </c>
      <c r="E29" s="108">
        <v>13</v>
      </c>
      <c r="F29" s="108">
        <v>19</v>
      </c>
      <c r="G29" s="108">
        <v>25</v>
      </c>
      <c r="H29" s="108">
        <v>60</v>
      </c>
      <c r="I29" s="108">
        <v>0</v>
      </c>
      <c r="J29" s="108">
        <v>182</v>
      </c>
      <c r="K29" s="108">
        <v>35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6">
        <f t="shared" si="0"/>
        <v>321</v>
      </c>
      <c r="R29" s="59">
        <f t="shared" si="5"/>
        <v>129</v>
      </c>
      <c r="S29" s="59">
        <f t="shared" si="1"/>
        <v>450</v>
      </c>
      <c r="T29" s="59">
        <f t="shared" si="6"/>
        <v>0</v>
      </c>
      <c r="U29" s="59">
        <f t="shared" si="2"/>
        <v>450</v>
      </c>
      <c r="V29" s="60">
        <f t="shared" si="3"/>
        <v>707.5</v>
      </c>
      <c r="W29" s="47" t="str">
        <f t="shared" si="4"/>
        <v>07:00-08:00</v>
      </c>
      <c r="X29" s="45">
        <f>B29+B63</f>
        <v>169</v>
      </c>
      <c r="Y29" s="45">
        <f>C29+C63</f>
        <v>52</v>
      </c>
      <c r="Z29" s="45">
        <f>D29+D63</f>
        <v>25</v>
      </c>
      <c r="AA29" s="45">
        <f>E29+E63</f>
        <v>35</v>
      </c>
      <c r="AB29" s="45">
        <f>F29+F63</f>
        <v>37</v>
      </c>
      <c r="AC29" s="45">
        <f>G29+G63</f>
        <v>57</v>
      </c>
      <c r="AD29" s="45">
        <f>H29+H63</f>
        <v>133</v>
      </c>
      <c r="AE29" s="45">
        <f>I29+I63</f>
        <v>0</v>
      </c>
      <c r="AF29" s="45">
        <f>J29+J63</f>
        <v>330</v>
      </c>
      <c r="AG29" s="45">
        <f>K29+K63</f>
        <v>56</v>
      </c>
      <c r="AH29" s="45">
        <f>L29+L63</f>
        <v>2</v>
      </c>
      <c r="AI29" s="45">
        <f>M29+M63</f>
        <v>2</v>
      </c>
      <c r="AJ29" s="45">
        <f>N29+N63</f>
        <v>0</v>
      </c>
      <c r="AK29" s="45">
        <f>O29+O63</f>
        <v>0</v>
      </c>
      <c r="AL29" s="45">
        <f>P29+P63</f>
        <v>0</v>
      </c>
      <c r="AM29" s="45">
        <f>Q29+Q63</f>
        <v>607</v>
      </c>
      <c r="AN29" s="45">
        <f>R29+R63</f>
        <v>291</v>
      </c>
      <c r="AO29" s="45">
        <f>S29+S63</f>
        <v>898</v>
      </c>
      <c r="AP29" s="45">
        <f>T29+T63</f>
        <v>0</v>
      </c>
      <c r="AQ29" s="45">
        <f>U29+U63</f>
        <v>898</v>
      </c>
      <c r="AR29" s="45">
        <f>V29+V63</f>
        <v>1516</v>
      </c>
    </row>
    <row r="30" spans="1:44" x14ac:dyDescent="0.3">
      <c r="A30" s="62" t="str">
        <f>'Day-3'!A30</f>
        <v>08:00-09:00</v>
      </c>
      <c r="B30" s="108">
        <v>119</v>
      </c>
      <c r="C30" s="140">
        <v>34</v>
      </c>
      <c r="D30" s="108">
        <v>22</v>
      </c>
      <c r="E30" s="108">
        <v>10</v>
      </c>
      <c r="F30" s="108">
        <v>10</v>
      </c>
      <c r="G30" s="108">
        <v>24</v>
      </c>
      <c r="H30" s="108">
        <v>53</v>
      </c>
      <c r="I30" s="108">
        <v>0</v>
      </c>
      <c r="J30" s="108">
        <v>239</v>
      </c>
      <c r="K30" s="108">
        <v>55</v>
      </c>
      <c r="L30" s="108">
        <v>0</v>
      </c>
      <c r="M30" s="108">
        <v>2</v>
      </c>
      <c r="N30" s="108">
        <v>2</v>
      </c>
      <c r="O30" s="108">
        <v>0</v>
      </c>
      <c r="P30" s="108">
        <v>0</v>
      </c>
      <c r="Q30" s="66">
        <f t="shared" si="0"/>
        <v>449</v>
      </c>
      <c r="R30" s="59">
        <f t="shared" si="5"/>
        <v>121</v>
      </c>
      <c r="S30" s="59">
        <f t="shared" si="1"/>
        <v>570</v>
      </c>
      <c r="T30" s="59">
        <f t="shared" si="6"/>
        <v>2</v>
      </c>
      <c r="U30" s="59">
        <f t="shared" si="2"/>
        <v>570</v>
      </c>
      <c r="V30" s="60">
        <f t="shared" si="3"/>
        <v>783</v>
      </c>
      <c r="W30" s="47" t="str">
        <f t="shared" si="4"/>
        <v>08:00-09:00</v>
      </c>
      <c r="X30" s="45">
        <f>B30+B64</f>
        <v>295</v>
      </c>
      <c r="Y30" s="45">
        <f>C30+C64</f>
        <v>97</v>
      </c>
      <c r="Z30" s="45">
        <f>D30+D64</f>
        <v>34</v>
      </c>
      <c r="AA30" s="45">
        <f>E30+E64</f>
        <v>41</v>
      </c>
      <c r="AB30" s="45">
        <f>F30+F64</f>
        <v>39</v>
      </c>
      <c r="AC30" s="45">
        <f>G30+G64</f>
        <v>53</v>
      </c>
      <c r="AD30" s="45">
        <f>H30+H64</f>
        <v>121</v>
      </c>
      <c r="AE30" s="45">
        <f>I30+I64</f>
        <v>0</v>
      </c>
      <c r="AF30" s="45">
        <f>J30+J64</f>
        <v>447</v>
      </c>
      <c r="AG30" s="45">
        <f>K30+K64</f>
        <v>88</v>
      </c>
      <c r="AH30" s="45">
        <f>L30+L64</f>
        <v>0</v>
      </c>
      <c r="AI30" s="45">
        <f>M30+M64</f>
        <v>4</v>
      </c>
      <c r="AJ30" s="45">
        <f>N30+N64</f>
        <v>2</v>
      </c>
      <c r="AK30" s="45">
        <f>O30+O64</f>
        <v>0</v>
      </c>
      <c r="AL30" s="45">
        <f>P30+P64</f>
        <v>0</v>
      </c>
      <c r="AM30" s="45">
        <f>Q30+Q64</f>
        <v>929</v>
      </c>
      <c r="AN30" s="45">
        <f>R30+R64</f>
        <v>292</v>
      </c>
      <c r="AO30" s="45">
        <f>S30+S64</f>
        <v>1221</v>
      </c>
      <c r="AP30" s="45">
        <f>T30+T64</f>
        <v>2</v>
      </c>
      <c r="AQ30" s="45">
        <f>U30+U64</f>
        <v>1221</v>
      </c>
      <c r="AR30" s="45">
        <f>V30+V64</f>
        <v>1832.5</v>
      </c>
    </row>
    <row r="31" spans="1:44" x14ac:dyDescent="0.3">
      <c r="A31" s="62" t="str">
        <f>'Day-3'!A31</f>
        <v>09:00-10:00</v>
      </c>
      <c r="B31" s="108">
        <v>172</v>
      </c>
      <c r="C31" s="140">
        <v>30</v>
      </c>
      <c r="D31" s="108">
        <v>14</v>
      </c>
      <c r="E31" s="108">
        <v>22</v>
      </c>
      <c r="F31" s="108">
        <v>18</v>
      </c>
      <c r="G31" s="108">
        <v>27</v>
      </c>
      <c r="H31" s="108">
        <v>72</v>
      </c>
      <c r="I31" s="108">
        <v>0</v>
      </c>
      <c r="J31" s="108">
        <v>218</v>
      </c>
      <c r="K31" s="108">
        <v>65</v>
      </c>
      <c r="L31" s="108">
        <v>0</v>
      </c>
      <c r="M31" s="108">
        <v>4</v>
      </c>
      <c r="N31" s="108">
        <v>0</v>
      </c>
      <c r="O31" s="108">
        <v>0</v>
      </c>
      <c r="P31" s="108">
        <v>0</v>
      </c>
      <c r="Q31" s="66">
        <f t="shared" si="0"/>
        <v>485</v>
      </c>
      <c r="R31" s="59">
        <f t="shared" si="5"/>
        <v>157</v>
      </c>
      <c r="S31" s="59">
        <f t="shared" si="1"/>
        <v>642</v>
      </c>
      <c r="T31" s="59">
        <f t="shared" si="6"/>
        <v>0</v>
      </c>
      <c r="U31" s="59">
        <f t="shared" si="2"/>
        <v>642</v>
      </c>
      <c r="V31" s="60">
        <f t="shared" si="3"/>
        <v>960</v>
      </c>
      <c r="W31" s="47" t="str">
        <f t="shared" si="4"/>
        <v>09:00-10:00</v>
      </c>
      <c r="X31" s="45">
        <f>B31+B65</f>
        <v>389</v>
      </c>
      <c r="Y31" s="45">
        <f>C31+C65</f>
        <v>43</v>
      </c>
      <c r="Z31" s="45">
        <f>D31+D65</f>
        <v>29</v>
      </c>
      <c r="AA31" s="45">
        <f>E31+E65</f>
        <v>37</v>
      </c>
      <c r="AB31" s="45">
        <f>F31+F65</f>
        <v>39</v>
      </c>
      <c r="AC31" s="45">
        <f>G31+G65</f>
        <v>44</v>
      </c>
      <c r="AD31" s="45">
        <f>H31+H65</f>
        <v>144</v>
      </c>
      <c r="AE31" s="45">
        <f>I31+I65</f>
        <v>0</v>
      </c>
      <c r="AF31" s="45">
        <f>J31+J65</f>
        <v>385</v>
      </c>
      <c r="AG31" s="45">
        <f>K31+K65</f>
        <v>108</v>
      </c>
      <c r="AH31" s="45">
        <f>L31+L65</f>
        <v>3</v>
      </c>
      <c r="AI31" s="45">
        <f>M31+M65</f>
        <v>4</v>
      </c>
      <c r="AJ31" s="45">
        <f>N31+N65</f>
        <v>0</v>
      </c>
      <c r="AK31" s="45">
        <f>O31+O65</f>
        <v>0</v>
      </c>
      <c r="AL31" s="45">
        <f>P31+P65</f>
        <v>3</v>
      </c>
      <c r="AM31" s="45">
        <f>Q31+Q65</f>
        <v>925</v>
      </c>
      <c r="AN31" s="45">
        <f>R31+R65</f>
        <v>303</v>
      </c>
      <c r="AO31" s="45">
        <f>S31+S65</f>
        <v>1228</v>
      </c>
      <c r="AP31" s="45">
        <f>T31+T65</f>
        <v>0</v>
      </c>
      <c r="AQ31" s="45">
        <f>U31+U65</f>
        <v>1228</v>
      </c>
      <c r="AR31" s="45">
        <f>V31+V65</f>
        <v>1836</v>
      </c>
    </row>
    <row r="32" spans="1:44" x14ac:dyDescent="0.3">
      <c r="A32" s="62" t="str">
        <f>'Day-3'!A32</f>
        <v>10:00-11:00</v>
      </c>
      <c r="B32" s="108">
        <v>171</v>
      </c>
      <c r="C32" s="140">
        <v>28</v>
      </c>
      <c r="D32" s="108">
        <v>18</v>
      </c>
      <c r="E32" s="108">
        <v>30</v>
      </c>
      <c r="F32" s="108">
        <v>25</v>
      </c>
      <c r="G32" s="108">
        <v>19</v>
      </c>
      <c r="H32" s="108">
        <v>74</v>
      </c>
      <c r="I32" s="108">
        <v>0</v>
      </c>
      <c r="J32" s="108">
        <v>222</v>
      </c>
      <c r="K32" s="108">
        <v>45</v>
      </c>
      <c r="L32" s="108">
        <v>0</v>
      </c>
      <c r="M32" s="108">
        <v>4</v>
      </c>
      <c r="N32" s="108">
        <v>0</v>
      </c>
      <c r="O32" s="108">
        <v>0</v>
      </c>
      <c r="P32" s="108">
        <v>0</v>
      </c>
      <c r="Q32" s="66">
        <f t="shared" si="0"/>
        <v>466</v>
      </c>
      <c r="R32" s="59">
        <f t="shared" si="5"/>
        <v>170</v>
      </c>
      <c r="S32" s="59">
        <f t="shared" si="1"/>
        <v>636</v>
      </c>
      <c r="T32" s="59">
        <f t="shared" si="6"/>
        <v>0</v>
      </c>
      <c r="U32" s="59">
        <f t="shared" si="2"/>
        <v>636</v>
      </c>
      <c r="V32" s="60">
        <f t="shared" si="3"/>
        <v>957</v>
      </c>
      <c r="W32" s="47" t="str">
        <f t="shared" si="4"/>
        <v>10:00-11:00</v>
      </c>
      <c r="X32" s="45">
        <f>B32+B66</f>
        <v>384</v>
      </c>
      <c r="Y32" s="45">
        <f>C32+C66</f>
        <v>51</v>
      </c>
      <c r="Z32" s="45">
        <f>D32+D66</f>
        <v>28</v>
      </c>
      <c r="AA32" s="45">
        <f>E32+E66</f>
        <v>46</v>
      </c>
      <c r="AB32" s="45">
        <f>F32+F66</f>
        <v>42</v>
      </c>
      <c r="AC32" s="45">
        <f>G32+G66</f>
        <v>43</v>
      </c>
      <c r="AD32" s="45">
        <f>H32+H66</f>
        <v>127</v>
      </c>
      <c r="AE32" s="45">
        <f>I32+I66</f>
        <v>0</v>
      </c>
      <c r="AF32" s="45">
        <f>J32+J66</f>
        <v>396</v>
      </c>
      <c r="AG32" s="45">
        <f>K32+K66</f>
        <v>101</v>
      </c>
      <c r="AH32" s="45">
        <f>L32+L66</f>
        <v>0</v>
      </c>
      <c r="AI32" s="45">
        <f>M32+M66</f>
        <v>6</v>
      </c>
      <c r="AJ32" s="45">
        <f>N32+N66</f>
        <v>0</v>
      </c>
      <c r="AK32" s="45">
        <f>O32+O66</f>
        <v>0</v>
      </c>
      <c r="AL32" s="45">
        <f>P32+P66</f>
        <v>0</v>
      </c>
      <c r="AM32" s="45">
        <f>Q32+Q66</f>
        <v>932</v>
      </c>
      <c r="AN32" s="45">
        <f>R32+R66</f>
        <v>292</v>
      </c>
      <c r="AO32" s="45">
        <f>S32+S66</f>
        <v>1224</v>
      </c>
      <c r="AP32" s="45">
        <f>T32+T66</f>
        <v>0</v>
      </c>
      <c r="AQ32" s="45">
        <f>U32+U66</f>
        <v>1224</v>
      </c>
      <c r="AR32" s="45">
        <f>V32+V66</f>
        <v>1786.5</v>
      </c>
    </row>
    <row r="33" spans="1:44" x14ac:dyDescent="0.3">
      <c r="A33" s="62" t="str">
        <f>'Day-3'!A33</f>
        <v>11:00-12:00</v>
      </c>
      <c r="B33" s="108">
        <v>179</v>
      </c>
      <c r="C33" s="140">
        <v>24</v>
      </c>
      <c r="D33" s="108">
        <v>25</v>
      </c>
      <c r="E33" s="108">
        <v>32</v>
      </c>
      <c r="F33" s="108">
        <v>13</v>
      </c>
      <c r="G33" s="108">
        <v>17</v>
      </c>
      <c r="H33" s="108">
        <v>62</v>
      </c>
      <c r="I33" s="108">
        <v>0</v>
      </c>
      <c r="J33" s="108">
        <v>185</v>
      </c>
      <c r="K33" s="108">
        <v>44</v>
      </c>
      <c r="L33" s="108">
        <v>0</v>
      </c>
      <c r="M33" s="108">
        <v>5</v>
      </c>
      <c r="N33" s="108">
        <v>0</v>
      </c>
      <c r="O33" s="108">
        <v>2</v>
      </c>
      <c r="P33" s="108">
        <v>0</v>
      </c>
      <c r="Q33" s="66">
        <f t="shared" si="0"/>
        <v>434</v>
      </c>
      <c r="R33" s="59">
        <f t="shared" si="5"/>
        <v>154</v>
      </c>
      <c r="S33" s="59">
        <f t="shared" si="1"/>
        <v>588</v>
      </c>
      <c r="T33" s="59">
        <f t="shared" si="6"/>
        <v>2</v>
      </c>
      <c r="U33" s="59">
        <f t="shared" si="2"/>
        <v>588</v>
      </c>
      <c r="V33" s="60">
        <f t="shared" si="3"/>
        <v>856</v>
      </c>
      <c r="W33" s="47" t="str">
        <f t="shared" si="4"/>
        <v>11:00-12:00</v>
      </c>
      <c r="X33" s="45">
        <f>B33+B67</f>
        <v>337</v>
      </c>
      <c r="Y33" s="45">
        <f>C33+C67</f>
        <v>48</v>
      </c>
      <c r="Z33" s="45">
        <f>D33+D67</f>
        <v>50</v>
      </c>
      <c r="AA33" s="45">
        <f>E33+E67</f>
        <v>51</v>
      </c>
      <c r="AB33" s="45">
        <f>F33+F67</f>
        <v>38</v>
      </c>
      <c r="AC33" s="45">
        <f>G33+G67</f>
        <v>40</v>
      </c>
      <c r="AD33" s="45">
        <f>H33+H67</f>
        <v>131</v>
      </c>
      <c r="AE33" s="45">
        <f>I33+I67</f>
        <v>0</v>
      </c>
      <c r="AF33" s="45">
        <f>J33+J67</f>
        <v>385</v>
      </c>
      <c r="AG33" s="45">
        <f>K33+K67</f>
        <v>77</v>
      </c>
      <c r="AH33" s="45">
        <f>L33+L67</f>
        <v>0</v>
      </c>
      <c r="AI33" s="45">
        <f>M33+M67</f>
        <v>5</v>
      </c>
      <c r="AJ33" s="45">
        <f>N33+N67</f>
        <v>0</v>
      </c>
      <c r="AK33" s="45">
        <f>O33+O67</f>
        <v>2</v>
      </c>
      <c r="AL33" s="45">
        <f>P33+P67</f>
        <v>0</v>
      </c>
      <c r="AM33" s="45">
        <f>Q33+Q67</f>
        <v>849</v>
      </c>
      <c r="AN33" s="45">
        <f>R33+R67</f>
        <v>315</v>
      </c>
      <c r="AO33" s="45">
        <f>S33+S67</f>
        <v>1164</v>
      </c>
      <c r="AP33" s="45">
        <f>T33+T67</f>
        <v>2</v>
      </c>
      <c r="AQ33" s="45">
        <f>U33+U67</f>
        <v>1164</v>
      </c>
      <c r="AR33" s="45">
        <f>V33+V67</f>
        <v>1727</v>
      </c>
    </row>
    <row r="34" spans="1:44" x14ac:dyDescent="0.3">
      <c r="A34" s="48" t="s">
        <v>23</v>
      </c>
      <c r="B34" s="146">
        <f t="shared" ref="B34:V34" si="7">SUM(B10:B33)</f>
        <v>2695</v>
      </c>
      <c r="C34" s="94">
        <f t="shared" si="7"/>
        <v>510</v>
      </c>
      <c r="D34" s="146">
        <f t="shared" si="7"/>
        <v>436</v>
      </c>
      <c r="E34" s="110">
        <f t="shared" si="7"/>
        <v>446</v>
      </c>
      <c r="F34" s="146">
        <f t="shared" si="7"/>
        <v>478</v>
      </c>
      <c r="G34" s="146">
        <f t="shared" si="7"/>
        <v>444</v>
      </c>
      <c r="H34" s="146">
        <f t="shared" si="7"/>
        <v>1766</v>
      </c>
      <c r="I34" s="146">
        <f t="shared" si="7"/>
        <v>0</v>
      </c>
      <c r="J34" s="146">
        <f t="shared" si="7"/>
        <v>3315</v>
      </c>
      <c r="K34" s="146">
        <f t="shared" si="7"/>
        <v>684</v>
      </c>
      <c r="L34" s="146">
        <f t="shared" si="7"/>
        <v>4</v>
      </c>
      <c r="M34" s="146">
        <f t="shared" si="7"/>
        <v>58</v>
      </c>
      <c r="N34" s="146">
        <f t="shared" si="7"/>
        <v>8</v>
      </c>
      <c r="O34" s="146">
        <f t="shared" si="7"/>
        <v>4</v>
      </c>
      <c r="P34" s="146">
        <f t="shared" si="7"/>
        <v>1</v>
      </c>
      <c r="Q34" s="107">
        <f t="shared" si="7"/>
        <v>7216</v>
      </c>
      <c r="R34" s="30">
        <f t="shared" si="7"/>
        <v>3633</v>
      </c>
      <c r="S34" s="31">
        <f t="shared" si="7"/>
        <v>10849</v>
      </c>
      <c r="T34" s="30">
        <f t="shared" si="7"/>
        <v>12</v>
      </c>
      <c r="U34" s="31">
        <f t="shared" si="7"/>
        <v>10849</v>
      </c>
      <c r="V34" s="31">
        <f t="shared" si="7"/>
        <v>18668</v>
      </c>
      <c r="W34" s="48" t="s">
        <v>23</v>
      </c>
      <c r="X34" s="30">
        <f>SUM(X10:X33)</f>
        <v>5325</v>
      </c>
      <c r="Y34" s="30">
        <f t="shared" ref="Y34:AR34" si="8">SUM(Y10:Y33)</f>
        <v>986</v>
      </c>
      <c r="Z34" s="30">
        <f t="shared" si="8"/>
        <v>797</v>
      </c>
      <c r="AA34" s="30">
        <f t="shared" si="8"/>
        <v>918</v>
      </c>
      <c r="AB34" s="30">
        <f t="shared" si="8"/>
        <v>1070</v>
      </c>
      <c r="AC34" s="30">
        <f t="shared" si="8"/>
        <v>1081</v>
      </c>
      <c r="AD34" s="30">
        <f t="shared" si="8"/>
        <v>3071</v>
      </c>
      <c r="AE34" s="30">
        <f t="shared" si="8"/>
        <v>0</v>
      </c>
      <c r="AF34" s="30">
        <f t="shared" si="8"/>
        <v>6360</v>
      </c>
      <c r="AG34" s="30">
        <f t="shared" si="8"/>
        <v>1232</v>
      </c>
      <c r="AH34" s="30">
        <f t="shared" si="8"/>
        <v>12</v>
      </c>
      <c r="AI34" s="30">
        <f t="shared" si="8"/>
        <v>83</v>
      </c>
      <c r="AJ34" s="30">
        <f t="shared" si="8"/>
        <v>8</v>
      </c>
      <c r="AK34" s="30">
        <f t="shared" si="8"/>
        <v>4</v>
      </c>
      <c r="AL34" s="30">
        <f t="shared" si="8"/>
        <v>4</v>
      </c>
      <c r="AM34" s="30">
        <f t="shared" si="8"/>
        <v>13915</v>
      </c>
      <c r="AN34" s="30">
        <f t="shared" si="8"/>
        <v>7036</v>
      </c>
      <c r="AO34" s="30">
        <f t="shared" si="8"/>
        <v>20951</v>
      </c>
      <c r="AP34" s="30">
        <f t="shared" si="8"/>
        <v>12</v>
      </c>
      <c r="AQ34" s="30">
        <f t="shared" si="8"/>
        <v>20951</v>
      </c>
      <c r="AR34" s="31">
        <f t="shared" si="8"/>
        <v>35563</v>
      </c>
    </row>
    <row r="35" spans="1:44" x14ac:dyDescent="0.3">
      <c r="E35" s="109"/>
    </row>
    <row r="38" spans="1:44" x14ac:dyDescent="0.3">
      <c r="A38" s="150" t="s">
        <v>26</v>
      </c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</row>
    <row r="39" spans="1:44" x14ac:dyDescent="0.3">
      <c r="A39" s="143" t="str">
        <f>A5</f>
        <v>Location:</v>
      </c>
      <c r="B39" s="153" t="str">
        <f>B5</f>
        <v>Nathavalasa Toll Plaza</v>
      </c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5"/>
      <c r="Q39" s="143" t="str">
        <f>Q5</f>
        <v>Date:</v>
      </c>
      <c r="R39" s="156">
        <f>R5</f>
        <v>45235</v>
      </c>
      <c r="S39" s="157"/>
      <c r="T39" s="157"/>
      <c r="U39" s="157"/>
      <c r="V39" s="158"/>
    </row>
    <row r="40" spans="1:44" x14ac:dyDescent="0.3">
      <c r="A40" s="144" t="s">
        <v>207</v>
      </c>
      <c r="B40" s="153" t="str">
        <f>'Day-3'!B40:V40</f>
        <v>Anandapuram to Ranasthalam</v>
      </c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5"/>
    </row>
    <row r="41" spans="1:44" x14ac:dyDescent="0.3">
      <c r="A41" s="14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1" t="s">
        <v>2</v>
      </c>
      <c r="B42" s="171" t="s">
        <v>80</v>
      </c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0" t="s">
        <v>81</v>
      </c>
      <c r="O42" s="170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2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 t="shared" ref="A44:A67" si="9">A10</f>
        <v>12:00-13:00</v>
      </c>
      <c r="B44" s="108">
        <v>161</v>
      </c>
      <c r="C44" s="140">
        <v>23</v>
      </c>
      <c r="D44" s="108">
        <v>30</v>
      </c>
      <c r="E44" s="108">
        <v>13</v>
      </c>
      <c r="F44" s="108">
        <v>17</v>
      </c>
      <c r="G44" s="108">
        <v>29</v>
      </c>
      <c r="H44" s="108">
        <v>66</v>
      </c>
      <c r="I44" s="108">
        <v>0</v>
      </c>
      <c r="J44" s="108">
        <v>222</v>
      </c>
      <c r="K44" s="108">
        <v>59</v>
      </c>
      <c r="L44" s="108">
        <v>0</v>
      </c>
      <c r="M44" s="108">
        <v>2</v>
      </c>
      <c r="N44" s="108">
        <v>0</v>
      </c>
      <c r="O44" s="108">
        <v>0</v>
      </c>
      <c r="P44" s="108">
        <v>0</v>
      </c>
      <c r="Q44" s="63">
        <f t="shared" ref="Q44:Q67" si="10">B44+C44+J44+K44+N44+O44</f>
        <v>465</v>
      </c>
      <c r="R44" s="45">
        <f>D44+E44+F44+G44+H44+I44+L44+M44+P44</f>
        <v>157</v>
      </c>
      <c r="S44" s="45">
        <f t="shared" ref="S44:S67" si="11">Q44+R44</f>
        <v>622</v>
      </c>
      <c r="T44" s="45">
        <f>N44+O44</f>
        <v>0</v>
      </c>
      <c r="U44" s="45">
        <f t="shared" ref="U44:U67" si="12">SUM(B44:P44)</f>
        <v>622</v>
      </c>
      <c r="V44" s="46">
        <f t="shared" ref="V44:V67" si="13">SUMPRODUCT(B44:P44,$B$7:$P$7)</f>
        <v>893.5</v>
      </c>
    </row>
    <row r="45" spans="1:44" x14ac:dyDescent="0.3">
      <c r="A45" s="62" t="str">
        <f t="shared" si="9"/>
        <v>13:00-14:00</v>
      </c>
      <c r="B45" s="108">
        <v>134</v>
      </c>
      <c r="C45" s="140">
        <v>33</v>
      </c>
      <c r="D45" s="108">
        <v>16</v>
      </c>
      <c r="E45" s="108">
        <v>16</v>
      </c>
      <c r="F45" s="108">
        <v>14</v>
      </c>
      <c r="G45" s="108">
        <v>18</v>
      </c>
      <c r="H45" s="108">
        <v>55</v>
      </c>
      <c r="I45" s="108">
        <v>0</v>
      </c>
      <c r="J45" s="108">
        <v>239</v>
      </c>
      <c r="K45" s="108">
        <v>44</v>
      </c>
      <c r="L45" s="108">
        <v>0</v>
      </c>
      <c r="M45" s="108">
        <v>4</v>
      </c>
      <c r="N45" s="108">
        <v>0</v>
      </c>
      <c r="O45" s="108">
        <v>0</v>
      </c>
      <c r="P45" s="108">
        <v>0</v>
      </c>
      <c r="Q45" s="63">
        <f t="shared" si="10"/>
        <v>450</v>
      </c>
      <c r="R45" s="45">
        <f t="shared" ref="R45:R67" si="14">D45+E45+F45+G45+H45+I45+L45+M45+P45</f>
        <v>123</v>
      </c>
      <c r="S45" s="45">
        <f t="shared" si="11"/>
        <v>573</v>
      </c>
      <c r="T45" s="45">
        <f t="shared" ref="T45:T67" si="15">N45+O45</f>
        <v>0</v>
      </c>
      <c r="U45" s="45">
        <f t="shared" si="12"/>
        <v>573</v>
      </c>
      <c r="V45" s="46">
        <f t="shared" si="13"/>
        <v>798</v>
      </c>
    </row>
    <row r="46" spans="1:44" x14ac:dyDescent="0.3">
      <c r="A46" s="62" t="str">
        <f t="shared" si="9"/>
        <v>14:00-15:00</v>
      </c>
      <c r="B46" s="108">
        <v>127</v>
      </c>
      <c r="C46" s="140">
        <v>21</v>
      </c>
      <c r="D46" s="108">
        <v>22</v>
      </c>
      <c r="E46" s="108">
        <v>23</v>
      </c>
      <c r="F46" s="108">
        <v>17</v>
      </c>
      <c r="G46" s="108">
        <v>33</v>
      </c>
      <c r="H46" s="108">
        <v>38</v>
      </c>
      <c r="I46" s="108">
        <v>0</v>
      </c>
      <c r="J46" s="108">
        <v>143</v>
      </c>
      <c r="K46" s="108">
        <v>35</v>
      </c>
      <c r="L46" s="108">
        <v>0</v>
      </c>
      <c r="M46" s="108">
        <v>0</v>
      </c>
      <c r="N46" s="108">
        <v>0</v>
      </c>
      <c r="O46" s="108">
        <v>0</v>
      </c>
      <c r="P46" s="108">
        <v>0</v>
      </c>
      <c r="Q46" s="63">
        <f t="shared" si="10"/>
        <v>326</v>
      </c>
      <c r="R46" s="45">
        <f t="shared" si="14"/>
        <v>133</v>
      </c>
      <c r="S46" s="45">
        <f t="shared" si="11"/>
        <v>459</v>
      </c>
      <c r="T46" s="45">
        <f t="shared" si="15"/>
        <v>0</v>
      </c>
      <c r="U46" s="45">
        <f t="shared" si="12"/>
        <v>459</v>
      </c>
      <c r="V46" s="46">
        <f t="shared" si="13"/>
        <v>674</v>
      </c>
    </row>
    <row r="47" spans="1:44" x14ac:dyDescent="0.3">
      <c r="A47" s="62" t="str">
        <f t="shared" si="9"/>
        <v>15:00-16:00</v>
      </c>
      <c r="B47" s="108">
        <v>186</v>
      </c>
      <c r="C47" s="141">
        <v>32</v>
      </c>
      <c r="D47" s="108">
        <v>30</v>
      </c>
      <c r="E47" s="108">
        <v>42</v>
      </c>
      <c r="F47" s="108">
        <v>25</v>
      </c>
      <c r="G47" s="108">
        <v>35</v>
      </c>
      <c r="H47" s="108">
        <v>53</v>
      </c>
      <c r="I47" s="108">
        <v>0</v>
      </c>
      <c r="J47" s="108">
        <v>199</v>
      </c>
      <c r="K47" s="108">
        <v>31</v>
      </c>
      <c r="L47" s="108">
        <v>0</v>
      </c>
      <c r="M47" s="108">
        <v>0</v>
      </c>
      <c r="N47" s="108">
        <v>0</v>
      </c>
      <c r="O47" s="108">
        <v>0</v>
      </c>
      <c r="P47" s="108">
        <v>0</v>
      </c>
      <c r="Q47" s="63">
        <f t="shared" si="10"/>
        <v>448</v>
      </c>
      <c r="R47" s="45">
        <f t="shared" si="14"/>
        <v>185</v>
      </c>
      <c r="S47" s="45">
        <f t="shared" si="11"/>
        <v>633</v>
      </c>
      <c r="T47" s="45">
        <f t="shared" si="15"/>
        <v>0</v>
      </c>
      <c r="U47" s="45">
        <f t="shared" si="12"/>
        <v>633</v>
      </c>
      <c r="V47" s="46">
        <f t="shared" si="13"/>
        <v>924</v>
      </c>
    </row>
    <row r="48" spans="1:44" x14ac:dyDescent="0.3">
      <c r="A48" s="62" t="str">
        <f t="shared" si="9"/>
        <v>16:00-17:00</v>
      </c>
      <c r="B48" s="108">
        <v>171</v>
      </c>
      <c r="C48" s="141">
        <v>36</v>
      </c>
      <c r="D48" s="108">
        <v>26</v>
      </c>
      <c r="E48" s="108">
        <v>17</v>
      </c>
      <c r="F48" s="108">
        <v>14</v>
      </c>
      <c r="G48" s="108">
        <v>27</v>
      </c>
      <c r="H48" s="108">
        <v>51</v>
      </c>
      <c r="I48" s="108">
        <v>0</v>
      </c>
      <c r="J48" s="108">
        <v>204</v>
      </c>
      <c r="K48" s="108">
        <v>48</v>
      </c>
      <c r="L48" s="108">
        <v>0</v>
      </c>
      <c r="M48" s="108">
        <v>3</v>
      </c>
      <c r="N48" s="108">
        <v>0</v>
      </c>
      <c r="O48" s="108">
        <v>0</v>
      </c>
      <c r="P48" s="108">
        <v>0</v>
      </c>
      <c r="Q48" s="63">
        <f t="shared" si="10"/>
        <v>459</v>
      </c>
      <c r="R48" s="45">
        <f t="shared" si="14"/>
        <v>138</v>
      </c>
      <c r="S48" s="45">
        <f t="shared" si="11"/>
        <v>597</v>
      </c>
      <c r="T48" s="45">
        <f t="shared" si="15"/>
        <v>0</v>
      </c>
      <c r="U48" s="45">
        <f t="shared" si="12"/>
        <v>597</v>
      </c>
      <c r="V48" s="46">
        <f t="shared" si="13"/>
        <v>846.5</v>
      </c>
    </row>
    <row r="49" spans="1:22" x14ac:dyDescent="0.3">
      <c r="A49" s="62" t="str">
        <f t="shared" si="9"/>
        <v>17:00-18:00</v>
      </c>
      <c r="B49" s="108">
        <v>160</v>
      </c>
      <c r="C49" s="141">
        <v>22</v>
      </c>
      <c r="D49" s="108">
        <v>17</v>
      </c>
      <c r="E49" s="108">
        <v>29</v>
      </c>
      <c r="F49" s="108">
        <v>23</v>
      </c>
      <c r="G49" s="108">
        <v>25</v>
      </c>
      <c r="H49" s="108">
        <v>66</v>
      </c>
      <c r="I49" s="108">
        <v>0</v>
      </c>
      <c r="J49" s="108">
        <v>203</v>
      </c>
      <c r="K49" s="108">
        <v>45</v>
      </c>
      <c r="L49" s="108">
        <v>0</v>
      </c>
      <c r="M49" s="108">
        <v>2</v>
      </c>
      <c r="N49" s="108">
        <v>0</v>
      </c>
      <c r="O49" s="108">
        <v>0</v>
      </c>
      <c r="P49" s="108">
        <v>0</v>
      </c>
      <c r="Q49" s="63">
        <f t="shared" si="10"/>
        <v>430</v>
      </c>
      <c r="R49" s="45">
        <f t="shared" si="14"/>
        <v>162</v>
      </c>
      <c r="S49" s="45">
        <f t="shared" si="11"/>
        <v>592</v>
      </c>
      <c r="T49" s="45">
        <f t="shared" si="15"/>
        <v>0</v>
      </c>
      <c r="U49" s="45">
        <f t="shared" si="12"/>
        <v>592</v>
      </c>
      <c r="V49" s="46">
        <f t="shared" si="13"/>
        <v>883</v>
      </c>
    </row>
    <row r="50" spans="1:22" x14ac:dyDescent="0.3">
      <c r="A50" s="62" t="str">
        <f t="shared" si="9"/>
        <v>18:00-19:00</v>
      </c>
      <c r="B50" s="108">
        <v>150</v>
      </c>
      <c r="C50" s="140">
        <v>23</v>
      </c>
      <c r="D50" s="108">
        <v>21</v>
      </c>
      <c r="E50" s="108">
        <v>26</v>
      </c>
      <c r="F50" s="108">
        <v>23</v>
      </c>
      <c r="G50" s="108">
        <v>21</v>
      </c>
      <c r="H50" s="108">
        <v>64</v>
      </c>
      <c r="I50" s="108">
        <v>0</v>
      </c>
      <c r="J50" s="108">
        <v>287</v>
      </c>
      <c r="K50" s="108">
        <v>42</v>
      </c>
      <c r="L50" s="108">
        <v>0</v>
      </c>
      <c r="M50" s="108">
        <v>1</v>
      </c>
      <c r="N50" s="108">
        <v>0</v>
      </c>
      <c r="O50" s="108">
        <v>0</v>
      </c>
      <c r="P50" s="108">
        <v>0</v>
      </c>
      <c r="Q50" s="63">
        <f t="shared" si="10"/>
        <v>502</v>
      </c>
      <c r="R50" s="45">
        <f t="shared" si="14"/>
        <v>156</v>
      </c>
      <c r="S50" s="45">
        <f t="shared" si="11"/>
        <v>658</v>
      </c>
      <c r="T50" s="45">
        <f t="shared" si="15"/>
        <v>0</v>
      </c>
      <c r="U50" s="45">
        <f t="shared" si="12"/>
        <v>658</v>
      </c>
      <c r="V50" s="46">
        <f t="shared" si="13"/>
        <v>889</v>
      </c>
    </row>
    <row r="51" spans="1:22" x14ac:dyDescent="0.3">
      <c r="A51" s="62" t="str">
        <f t="shared" si="9"/>
        <v>19:00-20:00</v>
      </c>
      <c r="B51" s="108">
        <v>136</v>
      </c>
      <c r="C51" s="140">
        <v>22</v>
      </c>
      <c r="D51" s="108">
        <v>10</v>
      </c>
      <c r="E51" s="108">
        <v>15</v>
      </c>
      <c r="F51" s="108">
        <v>19</v>
      </c>
      <c r="G51" s="108">
        <v>23</v>
      </c>
      <c r="H51" s="108">
        <v>49</v>
      </c>
      <c r="I51" s="108">
        <v>0</v>
      </c>
      <c r="J51" s="108">
        <v>162</v>
      </c>
      <c r="K51" s="108">
        <v>9</v>
      </c>
      <c r="L51" s="108">
        <v>0</v>
      </c>
      <c r="M51" s="108">
        <v>0</v>
      </c>
      <c r="N51" s="108">
        <v>0</v>
      </c>
      <c r="O51" s="108">
        <v>0</v>
      </c>
      <c r="P51" s="108">
        <v>0</v>
      </c>
      <c r="Q51" s="63">
        <f t="shared" si="10"/>
        <v>329</v>
      </c>
      <c r="R51" s="45">
        <f t="shared" si="14"/>
        <v>116</v>
      </c>
      <c r="S51" s="45">
        <f t="shared" si="11"/>
        <v>445</v>
      </c>
      <c r="T51" s="45">
        <f t="shared" si="15"/>
        <v>0</v>
      </c>
      <c r="U51" s="45">
        <f t="shared" si="12"/>
        <v>445</v>
      </c>
      <c r="V51" s="46">
        <f t="shared" si="13"/>
        <v>671</v>
      </c>
    </row>
    <row r="52" spans="1:22" x14ac:dyDescent="0.3">
      <c r="A52" s="62" t="str">
        <f t="shared" si="9"/>
        <v>20:00-21:00</v>
      </c>
      <c r="B52" s="108">
        <v>127</v>
      </c>
      <c r="C52" s="140">
        <v>15</v>
      </c>
      <c r="D52" s="108">
        <v>17</v>
      </c>
      <c r="E52" s="108">
        <v>11</v>
      </c>
      <c r="F52" s="108">
        <v>18</v>
      </c>
      <c r="G52" s="108">
        <v>13</v>
      </c>
      <c r="H52" s="108">
        <v>46</v>
      </c>
      <c r="I52" s="108">
        <v>0</v>
      </c>
      <c r="J52" s="108">
        <v>123</v>
      </c>
      <c r="K52" s="108">
        <v>0</v>
      </c>
      <c r="L52" s="108">
        <v>0</v>
      </c>
      <c r="M52" s="108">
        <v>0</v>
      </c>
      <c r="N52" s="108">
        <v>0</v>
      </c>
      <c r="O52" s="108">
        <v>0</v>
      </c>
      <c r="P52" s="108">
        <v>0</v>
      </c>
      <c r="Q52" s="63">
        <f t="shared" si="10"/>
        <v>265</v>
      </c>
      <c r="R52" s="45">
        <f t="shared" si="14"/>
        <v>105</v>
      </c>
      <c r="S52" s="45">
        <f t="shared" si="11"/>
        <v>370</v>
      </c>
      <c r="T52" s="45">
        <f t="shared" si="15"/>
        <v>0</v>
      </c>
      <c r="U52" s="45">
        <f t="shared" si="12"/>
        <v>370</v>
      </c>
      <c r="V52" s="46">
        <f t="shared" si="13"/>
        <v>567</v>
      </c>
    </row>
    <row r="53" spans="1:22" x14ac:dyDescent="0.3">
      <c r="A53" s="62" t="str">
        <f t="shared" si="9"/>
        <v>21:00-22:00</v>
      </c>
      <c r="B53" s="108">
        <v>127</v>
      </c>
      <c r="C53" s="142">
        <v>16</v>
      </c>
      <c r="D53" s="108">
        <v>5</v>
      </c>
      <c r="E53" s="108">
        <v>7</v>
      </c>
      <c r="F53" s="108">
        <v>28</v>
      </c>
      <c r="G53" s="108">
        <v>21</v>
      </c>
      <c r="H53" s="108">
        <v>44</v>
      </c>
      <c r="I53" s="108">
        <v>0</v>
      </c>
      <c r="J53" s="108">
        <v>81</v>
      </c>
      <c r="K53" s="108">
        <v>6</v>
      </c>
      <c r="L53" s="108">
        <v>0</v>
      </c>
      <c r="M53" s="108">
        <v>0</v>
      </c>
      <c r="N53" s="108">
        <v>0</v>
      </c>
      <c r="O53" s="108">
        <v>0</v>
      </c>
      <c r="P53" s="108">
        <v>0</v>
      </c>
      <c r="Q53" s="66">
        <f t="shared" si="10"/>
        <v>230</v>
      </c>
      <c r="R53" s="59">
        <f t="shared" si="14"/>
        <v>105</v>
      </c>
      <c r="S53" s="59">
        <f t="shared" si="11"/>
        <v>335</v>
      </c>
      <c r="T53" s="59">
        <f t="shared" si="15"/>
        <v>0</v>
      </c>
      <c r="U53" s="59">
        <f t="shared" si="12"/>
        <v>335</v>
      </c>
      <c r="V53" s="60">
        <f t="shared" si="13"/>
        <v>582</v>
      </c>
    </row>
    <row r="54" spans="1:22" x14ac:dyDescent="0.3">
      <c r="A54" s="62" t="str">
        <f t="shared" si="9"/>
        <v>22:00-23:00</v>
      </c>
      <c r="B54" s="108">
        <v>88</v>
      </c>
      <c r="C54" s="140">
        <v>7</v>
      </c>
      <c r="D54" s="108">
        <v>11</v>
      </c>
      <c r="E54" s="108">
        <v>28</v>
      </c>
      <c r="F54" s="108">
        <v>36</v>
      </c>
      <c r="G54" s="108">
        <v>35</v>
      </c>
      <c r="H54" s="108">
        <v>42</v>
      </c>
      <c r="I54" s="108">
        <v>0</v>
      </c>
      <c r="J54" s="108">
        <v>36</v>
      </c>
      <c r="K54" s="108">
        <v>2</v>
      </c>
      <c r="L54" s="108">
        <v>0</v>
      </c>
      <c r="M54" s="108">
        <v>0</v>
      </c>
      <c r="N54" s="108">
        <v>0</v>
      </c>
      <c r="O54" s="108">
        <v>0</v>
      </c>
      <c r="P54" s="108">
        <v>0</v>
      </c>
      <c r="Q54" s="66">
        <f t="shared" si="10"/>
        <v>133</v>
      </c>
      <c r="R54" s="59">
        <f t="shared" si="14"/>
        <v>152</v>
      </c>
      <c r="S54" s="59">
        <f t="shared" si="11"/>
        <v>285</v>
      </c>
      <c r="T54" s="59">
        <f t="shared" si="15"/>
        <v>0</v>
      </c>
      <c r="U54" s="59">
        <f t="shared" si="12"/>
        <v>285</v>
      </c>
      <c r="V54" s="60">
        <f t="shared" si="13"/>
        <v>584</v>
      </c>
    </row>
    <row r="55" spans="1:22" x14ac:dyDescent="0.3">
      <c r="A55" s="62" t="str">
        <f t="shared" si="9"/>
        <v>23:00-00:00</v>
      </c>
      <c r="B55" s="108">
        <v>63</v>
      </c>
      <c r="C55" s="140">
        <v>2</v>
      </c>
      <c r="D55" s="108">
        <v>9</v>
      </c>
      <c r="E55" s="108">
        <v>16</v>
      </c>
      <c r="F55" s="108">
        <v>35</v>
      </c>
      <c r="G55" s="108">
        <v>23</v>
      </c>
      <c r="H55" s="108">
        <v>37</v>
      </c>
      <c r="I55" s="108">
        <v>0</v>
      </c>
      <c r="J55" s="108">
        <v>28</v>
      </c>
      <c r="K55" s="108">
        <v>0</v>
      </c>
      <c r="L55" s="108">
        <v>0</v>
      </c>
      <c r="M55" s="108">
        <v>0</v>
      </c>
      <c r="N55" s="108">
        <v>0</v>
      </c>
      <c r="O55" s="108">
        <v>0</v>
      </c>
      <c r="P55" s="108">
        <v>0</v>
      </c>
      <c r="Q55" s="66">
        <f t="shared" si="10"/>
        <v>93</v>
      </c>
      <c r="R55" s="59">
        <f t="shared" si="14"/>
        <v>120</v>
      </c>
      <c r="S55" s="59">
        <f t="shared" si="11"/>
        <v>213</v>
      </c>
      <c r="T55" s="59">
        <f t="shared" si="15"/>
        <v>0</v>
      </c>
      <c r="U55" s="59">
        <f t="shared" si="12"/>
        <v>213</v>
      </c>
      <c r="V55" s="60">
        <f t="shared" si="13"/>
        <v>456.5</v>
      </c>
    </row>
    <row r="56" spans="1:22" x14ac:dyDescent="0.3">
      <c r="A56" s="62" t="str">
        <f t="shared" si="9"/>
        <v>00:00-01:00</v>
      </c>
      <c r="B56" s="108">
        <v>25</v>
      </c>
      <c r="C56" s="140">
        <v>4</v>
      </c>
      <c r="D56" s="108">
        <v>11</v>
      </c>
      <c r="E56" s="108">
        <v>21</v>
      </c>
      <c r="F56" s="108">
        <v>29</v>
      </c>
      <c r="G56" s="108">
        <v>32</v>
      </c>
      <c r="H56" s="108">
        <v>45</v>
      </c>
      <c r="I56" s="108">
        <v>0</v>
      </c>
      <c r="J56" s="108">
        <v>23</v>
      </c>
      <c r="K56" s="108">
        <v>0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6">
        <f t="shared" si="10"/>
        <v>52</v>
      </c>
      <c r="R56" s="59">
        <f t="shared" si="14"/>
        <v>138</v>
      </c>
      <c r="S56" s="59">
        <f t="shared" si="11"/>
        <v>190</v>
      </c>
      <c r="T56" s="59">
        <f t="shared" si="15"/>
        <v>0</v>
      </c>
      <c r="U56" s="59">
        <f t="shared" si="12"/>
        <v>190</v>
      </c>
      <c r="V56" s="60">
        <f t="shared" si="13"/>
        <v>476.5</v>
      </c>
    </row>
    <row r="57" spans="1:22" x14ac:dyDescent="0.3">
      <c r="A57" s="62" t="str">
        <f t="shared" si="9"/>
        <v>01:00-02:00</v>
      </c>
      <c r="B57" s="108">
        <v>17</v>
      </c>
      <c r="C57" s="140">
        <v>4</v>
      </c>
      <c r="D57" s="108">
        <v>11</v>
      </c>
      <c r="E57" s="108">
        <v>9</v>
      </c>
      <c r="F57" s="108">
        <v>30</v>
      </c>
      <c r="G57" s="108">
        <v>24</v>
      </c>
      <c r="H57" s="108">
        <v>63</v>
      </c>
      <c r="I57" s="108">
        <v>0</v>
      </c>
      <c r="J57" s="108">
        <v>7</v>
      </c>
      <c r="K57" s="108">
        <v>3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6">
        <f t="shared" si="10"/>
        <v>31</v>
      </c>
      <c r="R57" s="59">
        <f t="shared" si="14"/>
        <v>137</v>
      </c>
      <c r="S57" s="59">
        <f t="shared" si="11"/>
        <v>168</v>
      </c>
      <c r="T57" s="59">
        <f t="shared" si="15"/>
        <v>0</v>
      </c>
      <c r="U57" s="59">
        <f t="shared" si="12"/>
        <v>168</v>
      </c>
      <c r="V57" s="60">
        <f t="shared" si="13"/>
        <v>505.5</v>
      </c>
    </row>
    <row r="58" spans="1:22" x14ac:dyDescent="0.3">
      <c r="A58" s="62" t="str">
        <f t="shared" si="9"/>
        <v>02:00-03:00</v>
      </c>
      <c r="B58" s="108">
        <v>11</v>
      </c>
      <c r="C58" s="140">
        <v>3</v>
      </c>
      <c r="D58" s="108">
        <v>5</v>
      </c>
      <c r="E58" s="108">
        <v>24</v>
      </c>
      <c r="F58" s="108">
        <v>26</v>
      </c>
      <c r="G58" s="108">
        <v>26</v>
      </c>
      <c r="H58" s="108">
        <v>44</v>
      </c>
      <c r="I58" s="108">
        <v>0</v>
      </c>
      <c r="J58" s="108">
        <v>0</v>
      </c>
      <c r="K58" s="108">
        <v>0</v>
      </c>
      <c r="L58" s="108">
        <v>0</v>
      </c>
      <c r="M58" s="108">
        <v>2</v>
      </c>
      <c r="N58" s="108">
        <v>0</v>
      </c>
      <c r="O58" s="108">
        <v>0</v>
      </c>
      <c r="P58" s="108">
        <v>0</v>
      </c>
      <c r="Q58" s="66">
        <f t="shared" si="10"/>
        <v>14</v>
      </c>
      <c r="R58" s="59">
        <f t="shared" si="14"/>
        <v>127</v>
      </c>
      <c r="S58" s="59">
        <f t="shared" si="11"/>
        <v>141</v>
      </c>
      <c r="T58" s="59">
        <f t="shared" si="15"/>
        <v>0</v>
      </c>
      <c r="U58" s="59">
        <f t="shared" si="12"/>
        <v>141</v>
      </c>
      <c r="V58" s="60">
        <f t="shared" si="13"/>
        <v>424</v>
      </c>
    </row>
    <row r="59" spans="1:22" x14ac:dyDescent="0.3">
      <c r="A59" s="62" t="str">
        <f t="shared" si="9"/>
        <v>03:00-04:00</v>
      </c>
      <c r="B59" s="108">
        <v>14</v>
      </c>
      <c r="C59" s="140">
        <v>6</v>
      </c>
      <c r="D59" s="108">
        <v>6</v>
      </c>
      <c r="E59" s="108">
        <v>21</v>
      </c>
      <c r="F59" s="108">
        <v>32</v>
      </c>
      <c r="G59" s="108">
        <v>26</v>
      </c>
      <c r="H59" s="108">
        <v>56</v>
      </c>
      <c r="I59" s="108">
        <v>0</v>
      </c>
      <c r="J59" s="108">
        <v>4</v>
      </c>
      <c r="K59" s="108">
        <v>2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6">
        <f t="shared" si="10"/>
        <v>26</v>
      </c>
      <c r="R59" s="59">
        <f t="shared" si="14"/>
        <v>141</v>
      </c>
      <c r="S59" s="59">
        <f t="shared" si="11"/>
        <v>167</v>
      </c>
      <c r="T59" s="59">
        <f t="shared" si="15"/>
        <v>0</v>
      </c>
      <c r="U59" s="59">
        <f t="shared" si="12"/>
        <v>167</v>
      </c>
      <c r="V59" s="60">
        <f t="shared" si="13"/>
        <v>499.5</v>
      </c>
    </row>
    <row r="60" spans="1:22" x14ac:dyDescent="0.3">
      <c r="A60" s="62" t="str">
        <f t="shared" si="9"/>
        <v>04:00-05:00</v>
      </c>
      <c r="B60" s="108">
        <v>13</v>
      </c>
      <c r="C60" s="140">
        <v>5</v>
      </c>
      <c r="D60" s="108">
        <v>8</v>
      </c>
      <c r="E60" s="108">
        <v>17</v>
      </c>
      <c r="F60" s="108">
        <v>27</v>
      </c>
      <c r="G60" s="108">
        <v>43</v>
      </c>
      <c r="H60" s="108">
        <v>30</v>
      </c>
      <c r="I60" s="108">
        <v>0</v>
      </c>
      <c r="J60" s="108">
        <v>21</v>
      </c>
      <c r="K60" s="108">
        <v>4</v>
      </c>
      <c r="L60" s="108">
        <v>0</v>
      </c>
      <c r="M60" s="108">
        <v>1</v>
      </c>
      <c r="N60" s="108">
        <v>0</v>
      </c>
      <c r="O60" s="108">
        <v>0</v>
      </c>
      <c r="P60" s="108">
        <v>0</v>
      </c>
      <c r="Q60" s="66">
        <f t="shared" si="10"/>
        <v>43</v>
      </c>
      <c r="R60" s="59">
        <f t="shared" si="14"/>
        <v>126</v>
      </c>
      <c r="S60" s="59">
        <f t="shared" si="11"/>
        <v>169</v>
      </c>
      <c r="T60" s="59">
        <f t="shared" si="15"/>
        <v>0</v>
      </c>
      <c r="U60" s="59">
        <f t="shared" si="12"/>
        <v>169</v>
      </c>
      <c r="V60" s="60">
        <f t="shared" si="13"/>
        <v>425.5</v>
      </c>
    </row>
    <row r="61" spans="1:22" x14ac:dyDescent="0.3">
      <c r="A61" s="62" t="str">
        <f t="shared" si="9"/>
        <v>05:00-06:00</v>
      </c>
      <c r="B61" s="108">
        <v>19</v>
      </c>
      <c r="C61" s="140">
        <v>21</v>
      </c>
      <c r="D61" s="108">
        <v>13</v>
      </c>
      <c r="E61" s="108">
        <v>18</v>
      </c>
      <c r="F61" s="108">
        <v>42</v>
      </c>
      <c r="G61" s="108">
        <v>33</v>
      </c>
      <c r="H61" s="108">
        <v>56</v>
      </c>
      <c r="I61" s="108">
        <v>0</v>
      </c>
      <c r="J61" s="108">
        <v>69</v>
      </c>
      <c r="K61" s="108">
        <v>11</v>
      </c>
      <c r="L61" s="108">
        <v>0</v>
      </c>
      <c r="M61" s="108">
        <v>2</v>
      </c>
      <c r="N61" s="108">
        <v>0</v>
      </c>
      <c r="O61" s="108">
        <v>0</v>
      </c>
      <c r="P61" s="108">
        <v>0</v>
      </c>
      <c r="Q61" s="66">
        <f t="shared" si="10"/>
        <v>120</v>
      </c>
      <c r="R61" s="59">
        <f t="shared" si="14"/>
        <v>164</v>
      </c>
      <c r="S61" s="59">
        <f t="shared" si="11"/>
        <v>284</v>
      </c>
      <c r="T61" s="59">
        <f t="shared" si="15"/>
        <v>0</v>
      </c>
      <c r="U61" s="59">
        <f t="shared" si="12"/>
        <v>284</v>
      </c>
      <c r="V61" s="60">
        <f t="shared" si="13"/>
        <v>653.5</v>
      </c>
    </row>
    <row r="62" spans="1:22" x14ac:dyDescent="0.3">
      <c r="A62" s="62" t="str">
        <f t="shared" si="9"/>
        <v>06:00-07:00</v>
      </c>
      <c r="B62" s="108">
        <v>50</v>
      </c>
      <c r="C62" s="140">
        <v>28</v>
      </c>
      <c r="D62" s="108">
        <v>18</v>
      </c>
      <c r="E62" s="108">
        <v>16</v>
      </c>
      <c r="F62" s="108">
        <v>27</v>
      </c>
      <c r="G62" s="108">
        <v>25</v>
      </c>
      <c r="H62" s="108">
        <v>65</v>
      </c>
      <c r="I62" s="108">
        <v>0</v>
      </c>
      <c r="J62" s="108">
        <v>97</v>
      </c>
      <c r="K62" s="108">
        <v>21</v>
      </c>
      <c r="L62" s="108">
        <v>3</v>
      </c>
      <c r="M62" s="108">
        <v>2</v>
      </c>
      <c r="N62" s="108">
        <v>0</v>
      </c>
      <c r="O62" s="108">
        <v>0</v>
      </c>
      <c r="P62" s="108">
        <v>0</v>
      </c>
      <c r="Q62" s="66">
        <f t="shared" si="10"/>
        <v>196</v>
      </c>
      <c r="R62" s="59">
        <f t="shared" si="14"/>
        <v>156</v>
      </c>
      <c r="S62" s="59">
        <f t="shared" si="11"/>
        <v>352</v>
      </c>
      <c r="T62" s="59">
        <f t="shared" si="15"/>
        <v>0</v>
      </c>
      <c r="U62" s="59">
        <f t="shared" si="12"/>
        <v>352</v>
      </c>
      <c r="V62" s="60">
        <f t="shared" si="13"/>
        <v>707.5</v>
      </c>
    </row>
    <row r="63" spans="1:22" x14ac:dyDescent="0.3">
      <c r="A63" s="62" t="str">
        <f t="shared" si="9"/>
        <v>07:00-08:00</v>
      </c>
      <c r="B63" s="108">
        <v>87</v>
      </c>
      <c r="C63" s="140">
        <v>30</v>
      </c>
      <c r="D63" s="108">
        <v>13</v>
      </c>
      <c r="E63" s="108">
        <v>22</v>
      </c>
      <c r="F63" s="108">
        <v>18</v>
      </c>
      <c r="G63" s="108">
        <v>32</v>
      </c>
      <c r="H63" s="108">
        <v>73</v>
      </c>
      <c r="I63" s="108">
        <v>0</v>
      </c>
      <c r="J63" s="108">
        <v>148</v>
      </c>
      <c r="K63" s="108">
        <v>21</v>
      </c>
      <c r="L63" s="108">
        <v>2</v>
      </c>
      <c r="M63" s="108">
        <v>2</v>
      </c>
      <c r="N63" s="108">
        <v>0</v>
      </c>
      <c r="O63" s="108">
        <v>0</v>
      </c>
      <c r="P63" s="108">
        <v>0</v>
      </c>
      <c r="Q63" s="66">
        <f t="shared" si="10"/>
        <v>286</v>
      </c>
      <c r="R63" s="59">
        <f t="shared" si="14"/>
        <v>162</v>
      </c>
      <c r="S63" s="59">
        <f t="shared" si="11"/>
        <v>448</v>
      </c>
      <c r="T63" s="59">
        <f t="shared" si="15"/>
        <v>0</v>
      </c>
      <c r="U63" s="59">
        <f t="shared" si="12"/>
        <v>448</v>
      </c>
      <c r="V63" s="60">
        <f t="shared" si="13"/>
        <v>808.5</v>
      </c>
    </row>
    <row r="64" spans="1:22" x14ac:dyDescent="0.3">
      <c r="A64" s="62" t="str">
        <f t="shared" si="9"/>
        <v>08:00-09:00</v>
      </c>
      <c r="B64" s="108">
        <v>176</v>
      </c>
      <c r="C64" s="140">
        <v>63</v>
      </c>
      <c r="D64" s="108">
        <v>12</v>
      </c>
      <c r="E64" s="108">
        <v>31</v>
      </c>
      <c r="F64" s="108">
        <v>29</v>
      </c>
      <c r="G64" s="108">
        <v>29</v>
      </c>
      <c r="H64" s="108">
        <v>68</v>
      </c>
      <c r="I64" s="108">
        <v>0</v>
      </c>
      <c r="J64" s="108">
        <v>208</v>
      </c>
      <c r="K64" s="108">
        <v>33</v>
      </c>
      <c r="L64" s="108">
        <v>0</v>
      </c>
      <c r="M64" s="108">
        <v>2</v>
      </c>
      <c r="N64" s="108">
        <v>0</v>
      </c>
      <c r="O64" s="108">
        <v>0</v>
      </c>
      <c r="P64" s="108">
        <v>0</v>
      </c>
      <c r="Q64" s="66">
        <f t="shared" si="10"/>
        <v>480</v>
      </c>
      <c r="R64" s="59">
        <f t="shared" si="14"/>
        <v>171</v>
      </c>
      <c r="S64" s="59">
        <f t="shared" si="11"/>
        <v>651</v>
      </c>
      <c r="T64" s="59">
        <f t="shared" si="15"/>
        <v>0</v>
      </c>
      <c r="U64" s="59">
        <f t="shared" si="12"/>
        <v>651</v>
      </c>
      <c r="V64" s="60">
        <f t="shared" si="13"/>
        <v>1049.5</v>
      </c>
    </row>
    <row r="65" spans="1:22" x14ac:dyDescent="0.3">
      <c r="A65" s="62" t="str">
        <f t="shared" si="9"/>
        <v>09:00-10:00</v>
      </c>
      <c r="B65" s="108">
        <v>217</v>
      </c>
      <c r="C65" s="140">
        <v>13</v>
      </c>
      <c r="D65" s="108">
        <v>15</v>
      </c>
      <c r="E65" s="108">
        <v>15</v>
      </c>
      <c r="F65" s="108">
        <v>21</v>
      </c>
      <c r="G65" s="108">
        <v>17</v>
      </c>
      <c r="H65" s="108">
        <v>72</v>
      </c>
      <c r="I65" s="108">
        <v>0</v>
      </c>
      <c r="J65" s="108">
        <v>167</v>
      </c>
      <c r="K65" s="108">
        <v>43</v>
      </c>
      <c r="L65" s="108">
        <v>3</v>
      </c>
      <c r="M65" s="108">
        <v>0</v>
      </c>
      <c r="N65" s="108">
        <v>0</v>
      </c>
      <c r="O65" s="108">
        <v>0</v>
      </c>
      <c r="P65" s="108">
        <v>3</v>
      </c>
      <c r="Q65" s="66">
        <f t="shared" si="10"/>
        <v>440</v>
      </c>
      <c r="R65" s="59">
        <f t="shared" si="14"/>
        <v>146</v>
      </c>
      <c r="S65" s="59">
        <f t="shared" si="11"/>
        <v>586</v>
      </c>
      <c r="T65" s="59">
        <f t="shared" si="15"/>
        <v>0</v>
      </c>
      <c r="U65" s="59">
        <f t="shared" si="12"/>
        <v>586</v>
      </c>
      <c r="V65" s="60">
        <f t="shared" si="13"/>
        <v>876</v>
      </c>
    </row>
    <row r="66" spans="1:22" x14ac:dyDescent="0.3">
      <c r="A66" s="62" t="str">
        <f t="shared" si="9"/>
        <v>10:00-11:00</v>
      </c>
      <c r="B66" s="108">
        <v>213</v>
      </c>
      <c r="C66" s="140">
        <v>23</v>
      </c>
      <c r="D66" s="108">
        <v>10</v>
      </c>
      <c r="E66" s="108">
        <v>16</v>
      </c>
      <c r="F66" s="108">
        <v>17</v>
      </c>
      <c r="G66" s="108">
        <v>24</v>
      </c>
      <c r="H66" s="108">
        <v>53</v>
      </c>
      <c r="I66" s="108">
        <v>0</v>
      </c>
      <c r="J66" s="108">
        <v>174</v>
      </c>
      <c r="K66" s="108">
        <v>56</v>
      </c>
      <c r="L66" s="108">
        <v>0</v>
      </c>
      <c r="M66" s="108">
        <v>2</v>
      </c>
      <c r="N66" s="108">
        <v>0</v>
      </c>
      <c r="O66" s="108">
        <v>0</v>
      </c>
      <c r="P66" s="108">
        <v>0</v>
      </c>
      <c r="Q66" s="66">
        <f t="shared" si="10"/>
        <v>466</v>
      </c>
      <c r="R66" s="59">
        <f t="shared" si="14"/>
        <v>122</v>
      </c>
      <c r="S66" s="59">
        <f t="shared" si="11"/>
        <v>588</v>
      </c>
      <c r="T66" s="59">
        <f t="shared" si="15"/>
        <v>0</v>
      </c>
      <c r="U66" s="59">
        <f t="shared" si="12"/>
        <v>588</v>
      </c>
      <c r="V66" s="60">
        <f t="shared" si="13"/>
        <v>829.5</v>
      </c>
    </row>
    <row r="67" spans="1:22" x14ac:dyDescent="0.3">
      <c r="A67" s="62" t="str">
        <f t="shared" si="9"/>
        <v>11:00-12:00</v>
      </c>
      <c r="B67" s="108">
        <v>158</v>
      </c>
      <c r="C67" s="140">
        <v>24</v>
      </c>
      <c r="D67" s="108">
        <v>25</v>
      </c>
      <c r="E67" s="108">
        <v>19</v>
      </c>
      <c r="F67" s="108">
        <v>25</v>
      </c>
      <c r="G67" s="108">
        <v>23</v>
      </c>
      <c r="H67" s="108">
        <v>69</v>
      </c>
      <c r="I67" s="108">
        <v>0</v>
      </c>
      <c r="J67" s="108">
        <v>200</v>
      </c>
      <c r="K67" s="108">
        <v>33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6">
        <f t="shared" si="10"/>
        <v>415</v>
      </c>
      <c r="R67" s="59">
        <f t="shared" si="14"/>
        <v>161</v>
      </c>
      <c r="S67" s="59">
        <f t="shared" si="11"/>
        <v>576</v>
      </c>
      <c r="T67" s="59">
        <f t="shared" si="15"/>
        <v>0</v>
      </c>
      <c r="U67" s="59">
        <f t="shared" si="12"/>
        <v>576</v>
      </c>
      <c r="V67" s="60">
        <f t="shared" si="13"/>
        <v>871</v>
      </c>
    </row>
    <row r="68" spans="1:22" x14ac:dyDescent="0.3">
      <c r="A68" s="48" t="s">
        <v>23</v>
      </c>
      <c r="B68" s="146">
        <f t="shared" ref="B68:H68" si="16">SUM(B44:B67)</f>
        <v>2630</v>
      </c>
      <c r="C68" s="94">
        <f t="shared" si="16"/>
        <v>476</v>
      </c>
      <c r="D68" s="146">
        <f t="shared" si="16"/>
        <v>361</v>
      </c>
      <c r="E68" s="110">
        <f t="shared" si="16"/>
        <v>472</v>
      </c>
      <c r="F68" s="146">
        <f t="shared" si="16"/>
        <v>592</v>
      </c>
      <c r="G68" s="146">
        <f t="shared" si="16"/>
        <v>637</v>
      </c>
      <c r="H68" s="146">
        <f t="shared" si="16"/>
        <v>1305</v>
      </c>
      <c r="I68" s="146">
        <f t="shared" ref="I68:U68" si="17">SUM(I44:I67)</f>
        <v>0</v>
      </c>
      <c r="J68" s="146">
        <f>SUM(J44:J67)</f>
        <v>3045</v>
      </c>
      <c r="K68" s="146">
        <f>SUM(K44:K67)</f>
        <v>548</v>
      </c>
      <c r="L68" s="146">
        <f>SUM(L44:L67)</f>
        <v>8</v>
      </c>
      <c r="M68" s="146">
        <f>SUM(M44:M67)</f>
        <v>25</v>
      </c>
      <c r="N68" s="146">
        <f t="shared" si="17"/>
        <v>0</v>
      </c>
      <c r="O68" s="146">
        <f t="shared" si="17"/>
        <v>0</v>
      </c>
      <c r="P68" s="146">
        <f t="shared" si="17"/>
        <v>3</v>
      </c>
      <c r="Q68" s="107">
        <f>SUM(Q44:Q67)</f>
        <v>6699</v>
      </c>
      <c r="R68" s="30">
        <f>SUM(R44:R67)</f>
        <v>3403</v>
      </c>
      <c r="S68" s="31">
        <f t="shared" si="17"/>
        <v>10102</v>
      </c>
      <c r="T68" s="30">
        <f t="shared" si="17"/>
        <v>0</v>
      </c>
      <c r="U68" s="31">
        <f t="shared" si="17"/>
        <v>10102</v>
      </c>
      <c r="V68" s="31">
        <f>SUM(V44:V67)</f>
        <v>16895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  <mergeCell ref="A38:V38"/>
    <mergeCell ref="A42:A43"/>
    <mergeCell ref="N42:O42"/>
    <mergeCell ref="B42:M42"/>
    <mergeCell ref="B39:P39"/>
    <mergeCell ref="R39:V39"/>
    <mergeCell ref="B40:V40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R98"/>
  <sheetViews>
    <sheetView zoomScale="110" zoomScaleNormal="110" workbookViewId="0">
      <selection activeCell="A34" sqref="A34:M36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7" width="5" style="1" bestFit="1" customWidth="1"/>
    <col min="28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0" t="s">
        <v>27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9" t="s">
        <v>27</v>
      </c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1"/>
    </row>
    <row r="5" spans="1:44" x14ac:dyDescent="0.3">
      <c r="A5" s="143" t="s">
        <v>208</v>
      </c>
      <c r="B5" s="153" t="str">
        <f>'Day-4'!B5:P5</f>
        <v>Nathavalasa Toll Plaza</v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5"/>
      <c r="Q5" s="143" t="s">
        <v>202</v>
      </c>
      <c r="R5" s="156">
        <v>45236</v>
      </c>
      <c r="S5" s="157"/>
      <c r="T5" s="157"/>
      <c r="U5" s="157"/>
      <c r="V5" s="158"/>
      <c r="W5" s="143" t="str">
        <f>A5</f>
        <v>Location:</v>
      </c>
      <c r="X5" s="153" t="str">
        <f>B5</f>
        <v>Nathavalasa Toll Plaza</v>
      </c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5"/>
      <c r="AJ5" s="143" t="str">
        <f>Q5</f>
        <v>Date:</v>
      </c>
      <c r="AK5" s="156">
        <f>R5</f>
        <v>45236</v>
      </c>
      <c r="AL5" s="168"/>
      <c r="AM5" s="168"/>
      <c r="AN5" s="168"/>
      <c r="AO5" s="168"/>
      <c r="AP5" s="168"/>
      <c r="AQ5" s="168"/>
      <c r="AR5" s="169"/>
    </row>
    <row r="6" spans="1:44" x14ac:dyDescent="0.3">
      <c r="A6" s="144" t="s">
        <v>203</v>
      </c>
      <c r="B6" s="153" t="str">
        <f>'Day-4'!B6:V6</f>
        <v>Ranasthalam to Anandapuram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5"/>
      <c r="W6" s="153" t="s">
        <v>1</v>
      </c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5"/>
    </row>
    <row r="7" spans="1:44" x14ac:dyDescent="0.3">
      <c r="A7" s="14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1" t="s">
        <v>2</v>
      </c>
      <c r="B8" s="171" t="s">
        <v>80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0" t="s">
        <v>184</v>
      </c>
      <c r="O8" s="170"/>
      <c r="P8" s="103"/>
      <c r="Q8" s="104"/>
      <c r="R8" s="104"/>
      <c r="S8" s="104"/>
      <c r="T8" s="104"/>
      <c r="U8" s="104"/>
      <c r="V8" s="105"/>
      <c r="W8" s="162" t="s">
        <v>2</v>
      </c>
      <c r="X8" s="163" t="s">
        <v>80</v>
      </c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5"/>
      <c r="AJ8" s="166" t="s">
        <v>81</v>
      </c>
      <c r="AK8" s="167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2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1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49" t="s">
        <v>76</v>
      </c>
      <c r="AM9" s="149" t="s">
        <v>17</v>
      </c>
      <c r="AN9" s="149" t="s">
        <v>18</v>
      </c>
      <c r="AO9" s="149" t="s">
        <v>19</v>
      </c>
      <c r="AP9" s="149" t="s">
        <v>20</v>
      </c>
      <c r="AQ9" s="149" t="s">
        <v>21</v>
      </c>
      <c r="AR9" s="149" t="s">
        <v>22</v>
      </c>
    </row>
    <row r="10" spans="1:44" x14ac:dyDescent="0.3">
      <c r="A10" s="62" t="str">
        <f>'Day-4'!A10</f>
        <v>12:00-13:00</v>
      </c>
      <c r="B10" s="108">
        <v>156</v>
      </c>
      <c r="C10" s="140">
        <v>26</v>
      </c>
      <c r="D10" s="108">
        <v>19</v>
      </c>
      <c r="E10" s="108">
        <v>36</v>
      </c>
      <c r="F10" s="108">
        <v>17</v>
      </c>
      <c r="G10" s="108">
        <v>13</v>
      </c>
      <c r="H10" s="108">
        <v>56</v>
      </c>
      <c r="I10" s="108">
        <v>0</v>
      </c>
      <c r="J10" s="108">
        <v>167</v>
      </c>
      <c r="K10" s="108">
        <v>35</v>
      </c>
      <c r="L10" s="108">
        <v>0</v>
      </c>
      <c r="M10" s="108">
        <v>4</v>
      </c>
      <c r="N10" s="108">
        <v>0</v>
      </c>
      <c r="O10" s="108">
        <v>0</v>
      </c>
      <c r="P10" s="108">
        <v>0</v>
      </c>
      <c r="Q10" s="63">
        <f>B10+C10+J10+K10+N10+O10</f>
        <v>384</v>
      </c>
      <c r="R10" s="45">
        <f>D10+E10+F10+G10+H10+I10+L10+M10+P10</f>
        <v>145</v>
      </c>
      <c r="S10" s="45">
        <f t="shared" ref="S10:S33" si="0">Q10+R10</f>
        <v>529</v>
      </c>
      <c r="T10" s="45">
        <f>N10+O10</f>
        <v>0</v>
      </c>
      <c r="U10" s="45">
        <f>SUM(B10:P10)</f>
        <v>529</v>
      </c>
      <c r="V10" s="46">
        <f>SUMPRODUCT(B10:P10,$B$7:$P$7)</f>
        <v>785.5</v>
      </c>
      <c r="W10" s="47" t="str">
        <f t="shared" ref="W10:W33" si="1">A10</f>
        <v>12:00-13:00</v>
      </c>
      <c r="X10" s="45">
        <f>B10+B44</f>
        <v>263</v>
      </c>
      <c r="Y10" s="45">
        <f>C10+C44</f>
        <v>50</v>
      </c>
      <c r="Z10" s="45">
        <f>D10+D44</f>
        <v>44</v>
      </c>
      <c r="AA10" s="45">
        <f>E10+E44</f>
        <v>71</v>
      </c>
      <c r="AB10" s="45">
        <f>F10+F44</f>
        <v>43</v>
      </c>
      <c r="AC10" s="45">
        <f>G10+G44</f>
        <v>32</v>
      </c>
      <c r="AD10" s="45">
        <f>H10+H44</f>
        <v>126</v>
      </c>
      <c r="AE10" s="45">
        <f>I10+I44</f>
        <v>0</v>
      </c>
      <c r="AF10" s="45">
        <f>J10+J44</f>
        <v>353</v>
      </c>
      <c r="AG10" s="45">
        <f>K10+K44</f>
        <v>81</v>
      </c>
      <c r="AH10" s="45">
        <f>L10+L44</f>
        <v>0</v>
      </c>
      <c r="AI10" s="45">
        <f>M10+M44</f>
        <v>6</v>
      </c>
      <c r="AJ10" s="45">
        <f>N10+N44</f>
        <v>0</v>
      </c>
      <c r="AK10" s="45">
        <f>O10+O44</f>
        <v>0</v>
      </c>
      <c r="AL10" s="45">
        <f>P10+P44</f>
        <v>0</v>
      </c>
      <c r="AM10" s="45">
        <f>Q10+Q44</f>
        <v>747</v>
      </c>
      <c r="AN10" s="45">
        <f>R10+R44</f>
        <v>322</v>
      </c>
      <c r="AO10" s="45">
        <f>S10+S44</f>
        <v>1069</v>
      </c>
      <c r="AP10" s="45">
        <f>T10+T44</f>
        <v>0</v>
      </c>
      <c r="AQ10" s="45">
        <f>U10+U44</f>
        <v>1069</v>
      </c>
      <c r="AR10" s="53">
        <f>V10+V44</f>
        <v>1640</v>
      </c>
    </row>
    <row r="11" spans="1:44" x14ac:dyDescent="0.3">
      <c r="A11" s="62" t="str">
        <f>'Day-4'!A11</f>
        <v>13:00-14:00</v>
      </c>
      <c r="B11" s="108">
        <v>100</v>
      </c>
      <c r="C11" s="140">
        <v>21</v>
      </c>
      <c r="D11" s="108">
        <v>24</v>
      </c>
      <c r="E11" s="108">
        <v>29</v>
      </c>
      <c r="F11" s="108">
        <v>19</v>
      </c>
      <c r="G11" s="108">
        <v>14</v>
      </c>
      <c r="H11" s="108">
        <v>61</v>
      </c>
      <c r="I11" s="108">
        <v>0</v>
      </c>
      <c r="J11" s="108">
        <v>150</v>
      </c>
      <c r="K11" s="108">
        <v>25</v>
      </c>
      <c r="L11" s="108">
        <v>0</v>
      </c>
      <c r="M11" s="108">
        <v>3</v>
      </c>
      <c r="N11" s="108">
        <v>0</v>
      </c>
      <c r="O11" s="108">
        <v>0</v>
      </c>
      <c r="P11" s="108">
        <v>0</v>
      </c>
      <c r="Q11" s="63">
        <f t="shared" ref="Q11:Q33" si="2">B11+C11+J11+K11+N11+O11</f>
        <v>296</v>
      </c>
      <c r="R11" s="45">
        <f t="shared" ref="R11:R33" si="3">D11+E11+F11+G11+H11+I11+L11+M11+P11</f>
        <v>150</v>
      </c>
      <c r="S11" s="45">
        <f t="shared" si="0"/>
        <v>446</v>
      </c>
      <c r="T11" s="45">
        <f t="shared" ref="T11:T33" si="4">N11+O11</f>
        <v>0</v>
      </c>
      <c r="U11" s="45">
        <f t="shared" ref="U11:U33" si="5">SUM(B11:P11)</f>
        <v>446</v>
      </c>
      <c r="V11" s="46">
        <f t="shared" ref="V11:V33" si="6">SUMPRODUCT(B11:P11,$B$7:$P$7)</f>
        <v>717.5</v>
      </c>
      <c r="W11" s="47" t="str">
        <f t="shared" si="1"/>
        <v>13:00-14:00</v>
      </c>
      <c r="X11" s="45">
        <f>B11+B45</f>
        <v>203</v>
      </c>
      <c r="Y11" s="45">
        <f>C11+C45</f>
        <v>56</v>
      </c>
      <c r="Z11" s="45">
        <f>D11+D45</f>
        <v>42</v>
      </c>
      <c r="AA11" s="45">
        <f>E11+E45</f>
        <v>57</v>
      </c>
      <c r="AB11" s="45">
        <f>F11+F45</f>
        <v>42</v>
      </c>
      <c r="AC11" s="45">
        <f>G11+G45</f>
        <v>39</v>
      </c>
      <c r="AD11" s="45">
        <f>H11+H45</f>
        <v>116</v>
      </c>
      <c r="AE11" s="45">
        <f>I11+I45</f>
        <v>0</v>
      </c>
      <c r="AF11" s="45">
        <f>J11+J45</f>
        <v>334</v>
      </c>
      <c r="AG11" s="45">
        <f>K11+K45</f>
        <v>54</v>
      </c>
      <c r="AH11" s="45">
        <f>L11+L45</f>
        <v>0</v>
      </c>
      <c r="AI11" s="45">
        <f>M11+M45</f>
        <v>7</v>
      </c>
      <c r="AJ11" s="45">
        <f>N11+N45</f>
        <v>0</v>
      </c>
      <c r="AK11" s="45">
        <f>O11+O45</f>
        <v>2</v>
      </c>
      <c r="AL11" s="45">
        <f>P11+P45</f>
        <v>2</v>
      </c>
      <c r="AM11" s="45">
        <f>Q11+Q45</f>
        <v>649</v>
      </c>
      <c r="AN11" s="45">
        <f>R11+R45</f>
        <v>305</v>
      </c>
      <c r="AO11" s="45">
        <f>S11+S45</f>
        <v>954</v>
      </c>
      <c r="AP11" s="45">
        <f>T11+T45</f>
        <v>2</v>
      </c>
      <c r="AQ11" s="45">
        <f>U11+U45</f>
        <v>954</v>
      </c>
      <c r="AR11" s="45">
        <f>V11+V45</f>
        <v>1529</v>
      </c>
    </row>
    <row r="12" spans="1:44" x14ac:dyDescent="0.3">
      <c r="A12" s="62" t="str">
        <f>'Day-4'!A12</f>
        <v>14:00-15:00</v>
      </c>
      <c r="B12" s="108">
        <v>121</v>
      </c>
      <c r="C12" s="140">
        <v>21</v>
      </c>
      <c r="D12" s="108">
        <v>21</v>
      </c>
      <c r="E12" s="108">
        <v>27</v>
      </c>
      <c r="F12" s="108">
        <v>18</v>
      </c>
      <c r="G12" s="108">
        <v>16</v>
      </c>
      <c r="H12" s="108">
        <v>45</v>
      </c>
      <c r="I12" s="108">
        <v>0</v>
      </c>
      <c r="J12" s="108">
        <v>203</v>
      </c>
      <c r="K12" s="108">
        <v>47</v>
      </c>
      <c r="L12" s="108">
        <v>0</v>
      </c>
      <c r="M12" s="108">
        <v>3</v>
      </c>
      <c r="N12" s="108">
        <v>0</v>
      </c>
      <c r="O12" s="108">
        <v>0</v>
      </c>
      <c r="P12" s="108">
        <v>0</v>
      </c>
      <c r="Q12" s="63">
        <f t="shared" si="2"/>
        <v>392</v>
      </c>
      <c r="R12" s="45">
        <f t="shared" si="3"/>
        <v>130</v>
      </c>
      <c r="S12" s="45">
        <f t="shared" si="0"/>
        <v>522</v>
      </c>
      <c r="T12" s="45">
        <f t="shared" si="4"/>
        <v>0</v>
      </c>
      <c r="U12" s="45">
        <f t="shared" si="5"/>
        <v>522</v>
      </c>
      <c r="V12" s="46">
        <f t="shared" si="6"/>
        <v>712</v>
      </c>
      <c r="W12" s="47" t="str">
        <f t="shared" si="1"/>
        <v>14:00-15:00</v>
      </c>
      <c r="X12" s="45">
        <f>B12+B46</f>
        <v>223</v>
      </c>
      <c r="Y12" s="45">
        <f>C12+C46</f>
        <v>38</v>
      </c>
      <c r="Z12" s="45">
        <f>D12+D46</f>
        <v>35</v>
      </c>
      <c r="AA12" s="45">
        <f>E12+E46</f>
        <v>67</v>
      </c>
      <c r="AB12" s="45">
        <f>F12+F46</f>
        <v>42</v>
      </c>
      <c r="AC12" s="45">
        <f>G12+G46</f>
        <v>49</v>
      </c>
      <c r="AD12" s="45">
        <f>H12+H46</f>
        <v>90</v>
      </c>
      <c r="AE12" s="45">
        <f>I12+I46</f>
        <v>0</v>
      </c>
      <c r="AF12" s="45">
        <f>J12+J46</f>
        <v>322</v>
      </c>
      <c r="AG12" s="45">
        <f>K12+K46</f>
        <v>78</v>
      </c>
      <c r="AH12" s="45">
        <f>L12+L46</f>
        <v>0</v>
      </c>
      <c r="AI12" s="45">
        <f>M12+M46</f>
        <v>3</v>
      </c>
      <c r="AJ12" s="45">
        <f>N12+N46</f>
        <v>0</v>
      </c>
      <c r="AK12" s="45">
        <f>O12+O46</f>
        <v>0</v>
      </c>
      <c r="AL12" s="45">
        <f>P12+P46</f>
        <v>0</v>
      </c>
      <c r="AM12" s="45">
        <f>Q12+Q46</f>
        <v>661</v>
      </c>
      <c r="AN12" s="45">
        <f>R12+R46</f>
        <v>286</v>
      </c>
      <c r="AO12" s="45">
        <f>S12+S46</f>
        <v>947</v>
      </c>
      <c r="AP12" s="45">
        <f>T12+T46</f>
        <v>0</v>
      </c>
      <c r="AQ12" s="45">
        <f>U12+U46</f>
        <v>947</v>
      </c>
      <c r="AR12" s="45">
        <f>V12+V46</f>
        <v>1403</v>
      </c>
    </row>
    <row r="13" spans="1:44" x14ac:dyDescent="0.3">
      <c r="A13" s="62" t="str">
        <f>'Day-4'!A13</f>
        <v>15:00-16:00</v>
      </c>
      <c r="B13" s="108">
        <v>183</v>
      </c>
      <c r="C13" s="141">
        <v>25</v>
      </c>
      <c r="D13" s="108">
        <v>23</v>
      </c>
      <c r="E13" s="108">
        <v>17</v>
      </c>
      <c r="F13" s="108">
        <v>18</v>
      </c>
      <c r="G13" s="108">
        <v>15</v>
      </c>
      <c r="H13" s="108">
        <v>73</v>
      </c>
      <c r="I13" s="108">
        <v>0</v>
      </c>
      <c r="J13" s="108">
        <v>199</v>
      </c>
      <c r="K13" s="108">
        <v>51</v>
      </c>
      <c r="L13" s="108">
        <v>0</v>
      </c>
      <c r="M13" s="108">
        <v>5</v>
      </c>
      <c r="N13" s="108">
        <v>0</v>
      </c>
      <c r="O13" s="108">
        <v>0</v>
      </c>
      <c r="P13" s="108">
        <v>0</v>
      </c>
      <c r="Q13" s="63">
        <f t="shared" si="2"/>
        <v>458</v>
      </c>
      <c r="R13" s="45">
        <f t="shared" si="3"/>
        <v>151</v>
      </c>
      <c r="S13" s="45">
        <f t="shared" si="0"/>
        <v>609</v>
      </c>
      <c r="T13" s="45">
        <f t="shared" si="4"/>
        <v>0</v>
      </c>
      <c r="U13" s="45">
        <f t="shared" si="5"/>
        <v>609</v>
      </c>
      <c r="V13" s="46">
        <f t="shared" si="6"/>
        <v>907</v>
      </c>
      <c r="W13" s="47" t="str">
        <f t="shared" si="1"/>
        <v>15:00-16:00</v>
      </c>
      <c r="X13" s="45">
        <f>B13+B47</f>
        <v>355</v>
      </c>
      <c r="Y13" s="45">
        <f>C13+C47</f>
        <v>46</v>
      </c>
      <c r="Z13" s="45">
        <f>D13+D47</f>
        <v>42</v>
      </c>
      <c r="AA13" s="45">
        <f>E13+E47</f>
        <v>43</v>
      </c>
      <c r="AB13" s="45">
        <f>F13+F47</f>
        <v>37</v>
      </c>
      <c r="AC13" s="45">
        <f>G13+G47</f>
        <v>41</v>
      </c>
      <c r="AD13" s="45">
        <f>H13+H47</f>
        <v>127</v>
      </c>
      <c r="AE13" s="45">
        <f>I13+I47</f>
        <v>0</v>
      </c>
      <c r="AF13" s="45">
        <f>J13+J47</f>
        <v>374</v>
      </c>
      <c r="AG13" s="45">
        <f>K13+K47</f>
        <v>82</v>
      </c>
      <c r="AH13" s="45">
        <f>L13+L47</f>
        <v>0</v>
      </c>
      <c r="AI13" s="45">
        <f>M13+M47</f>
        <v>7</v>
      </c>
      <c r="AJ13" s="45">
        <f>N13+N47</f>
        <v>0</v>
      </c>
      <c r="AK13" s="45">
        <f>O13+O47</f>
        <v>0</v>
      </c>
      <c r="AL13" s="45">
        <f>P13+P47</f>
        <v>0</v>
      </c>
      <c r="AM13" s="45">
        <f>Q13+Q47</f>
        <v>857</v>
      </c>
      <c r="AN13" s="45">
        <f>R13+R47</f>
        <v>297</v>
      </c>
      <c r="AO13" s="45">
        <f>S13+S47</f>
        <v>1154</v>
      </c>
      <c r="AP13" s="45">
        <f>T13+T47</f>
        <v>0</v>
      </c>
      <c r="AQ13" s="45">
        <f>U13+U47</f>
        <v>1154</v>
      </c>
      <c r="AR13" s="45">
        <f>V13+V47</f>
        <v>1705.5</v>
      </c>
    </row>
    <row r="14" spans="1:44" x14ac:dyDescent="0.3">
      <c r="A14" s="62" t="str">
        <f>'Day-4'!A14</f>
        <v>16:00-17:00</v>
      </c>
      <c r="B14" s="108">
        <v>170</v>
      </c>
      <c r="C14" s="141">
        <v>25</v>
      </c>
      <c r="D14" s="108">
        <v>25</v>
      </c>
      <c r="E14" s="108">
        <v>30</v>
      </c>
      <c r="F14" s="108">
        <v>9</v>
      </c>
      <c r="G14" s="108">
        <v>26</v>
      </c>
      <c r="H14" s="108">
        <v>67</v>
      </c>
      <c r="I14" s="108">
        <v>0</v>
      </c>
      <c r="J14" s="108">
        <v>227</v>
      </c>
      <c r="K14" s="108">
        <v>50</v>
      </c>
      <c r="L14" s="108">
        <v>0</v>
      </c>
      <c r="M14" s="108">
        <v>2</v>
      </c>
      <c r="N14" s="108">
        <v>0</v>
      </c>
      <c r="O14" s="108">
        <v>0</v>
      </c>
      <c r="P14" s="108">
        <v>0</v>
      </c>
      <c r="Q14" s="63">
        <f t="shared" si="2"/>
        <v>472</v>
      </c>
      <c r="R14" s="45">
        <f t="shared" si="3"/>
        <v>159</v>
      </c>
      <c r="S14" s="45">
        <f t="shared" si="0"/>
        <v>631</v>
      </c>
      <c r="T14" s="45">
        <f t="shared" si="4"/>
        <v>0</v>
      </c>
      <c r="U14" s="45">
        <f t="shared" si="5"/>
        <v>631</v>
      </c>
      <c r="V14" s="46">
        <f t="shared" si="6"/>
        <v>894</v>
      </c>
      <c r="W14" s="47" t="str">
        <f t="shared" si="1"/>
        <v>16:00-17:00</v>
      </c>
      <c r="X14" s="45">
        <f>B14+B48</f>
        <v>330</v>
      </c>
      <c r="Y14" s="45">
        <f>C14+C48</f>
        <v>51</v>
      </c>
      <c r="Z14" s="45">
        <f>D14+D48</f>
        <v>40</v>
      </c>
      <c r="AA14" s="45">
        <f>E14+E48</f>
        <v>55</v>
      </c>
      <c r="AB14" s="45">
        <f>F14+F48</f>
        <v>30</v>
      </c>
      <c r="AC14" s="45">
        <f>G14+G48</f>
        <v>60</v>
      </c>
      <c r="AD14" s="45">
        <f>H14+H48</f>
        <v>131</v>
      </c>
      <c r="AE14" s="45">
        <f>I14+I48</f>
        <v>0</v>
      </c>
      <c r="AF14" s="45">
        <f>J14+J48</f>
        <v>440</v>
      </c>
      <c r="AG14" s="45">
        <f>K14+K48</f>
        <v>100</v>
      </c>
      <c r="AH14" s="45">
        <f>L14+L48</f>
        <v>0</v>
      </c>
      <c r="AI14" s="45">
        <f>M14+M48</f>
        <v>5</v>
      </c>
      <c r="AJ14" s="45">
        <f>N14+N48</f>
        <v>0</v>
      </c>
      <c r="AK14" s="45">
        <f>O14+O48</f>
        <v>0</v>
      </c>
      <c r="AL14" s="45">
        <f>P14+P48</f>
        <v>0</v>
      </c>
      <c r="AM14" s="45">
        <f>Q14+Q48</f>
        <v>921</v>
      </c>
      <c r="AN14" s="45">
        <f>R14+R48</f>
        <v>321</v>
      </c>
      <c r="AO14" s="45">
        <f>S14+S48</f>
        <v>1242</v>
      </c>
      <c r="AP14" s="45">
        <f>T14+T48</f>
        <v>0</v>
      </c>
      <c r="AQ14" s="45">
        <f>U14+U48</f>
        <v>1242</v>
      </c>
      <c r="AR14" s="45">
        <f>V14+V48</f>
        <v>1807.5</v>
      </c>
    </row>
    <row r="15" spans="1:44" x14ac:dyDescent="0.3">
      <c r="A15" s="62" t="str">
        <f>'Day-4'!A15</f>
        <v>17:00-18:00</v>
      </c>
      <c r="B15" s="108">
        <v>198</v>
      </c>
      <c r="C15" s="141">
        <v>31</v>
      </c>
      <c r="D15" s="108">
        <v>44</v>
      </c>
      <c r="E15" s="108">
        <v>18</v>
      </c>
      <c r="F15" s="108">
        <v>17</v>
      </c>
      <c r="G15" s="108">
        <v>24</v>
      </c>
      <c r="H15" s="108">
        <v>87</v>
      </c>
      <c r="I15" s="108">
        <v>0</v>
      </c>
      <c r="J15" s="108">
        <v>257</v>
      </c>
      <c r="K15" s="108">
        <v>47</v>
      </c>
      <c r="L15" s="108">
        <v>0</v>
      </c>
      <c r="M15" s="108">
        <v>6</v>
      </c>
      <c r="N15" s="108">
        <v>0</v>
      </c>
      <c r="O15" s="108">
        <v>0</v>
      </c>
      <c r="P15" s="108">
        <v>3</v>
      </c>
      <c r="Q15" s="63">
        <f t="shared" si="2"/>
        <v>533</v>
      </c>
      <c r="R15" s="45">
        <f t="shared" si="3"/>
        <v>199</v>
      </c>
      <c r="S15" s="45">
        <f t="shared" si="0"/>
        <v>732</v>
      </c>
      <c r="T15" s="45">
        <f t="shared" si="4"/>
        <v>0</v>
      </c>
      <c r="U15" s="45">
        <f t="shared" si="5"/>
        <v>732</v>
      </c>
      <c r="V15" s="46">
        <f t="shared" si="6"/>
        <v>1092.5</v>
      </c>
      <c r="W15" s="47" t="str">
        <f t="shared" si="1"/>
        <v>17:00-18:00</v>
      </c>
      <c r="X15" s="45">
        <f>B15+B49</f>
        <v>374</v>
      </c>
      <c r="Y15" s="45">
        <f>C15+C49</f>
        <v>61</v>
      </c>
      <c r="Z15" s="45">
        <f>D15+D49</f>
        <v>62</v>
      </c>
      <c r="AA15" s="45">
        <f>E15+E49</f>
        <v>42</v>
      </c>
      <c r="AB15" s="45">
        <f>F15+F49</f>
        <v>40</v>
      </c>
      <c r="AC15" s="45">
        <f>G15+G49</f>
        <v>40</v>
      </c>
      <c r="AD15" s="45">
        <f>H15+H49</f>
        <v>157</v>
      </c>
      <c r="AE15" s="45">
        <f>I15+I49</f>
        <v>0</v>
      </c>
      <c r="AF15" s="45">
        <f>J15+J49</f>
        <v>475</v>
      </c>
      <c r="AG15" s="45">
        <f>K15+K49</f>
        <v>107</v>
      </c>
      <c r="AH15" s="45">
        <f>L15+L49</f>
        <v>0</v>
      </c>
      <c r="AI15" s="45">
        <f>M15+M49</f>
        <v>12</v>
      </c>
      <c r="AJ15" s="45">
        <f>N15+N49</f>
        <v>0</v>
      </c>
      <c r="AK15" s="45">
        <f>O15+O49</f>
        <v>0</v>
      </c>
      <c r="AL15" s="45">
        <f>P15+P49</f>
        <v>3</v>
      </c>
      <c r="AM15" s="45">
        <f>Q15+Q49</f>
        <v>1017</v>
      </c>
      <c r="AN15" s="45">
        <f>R15+R49</f>
        <v>356</v>
      </c>
      <c r="AO15" s="45">
        <f>S15+S49</f>
        <v>1373</v>
      </c>
      <c r="AP15" s="45">
        <f>T15+T49</f>
        <v>0</v>
      </c>
      <c r="AQ15" s="45">
        <f>U15+U49</f>
        <v>1373</v>
      </c>
      <c r="AR15" s="45">
        <f>V15+V49</f>
        <v>2040.5</v>
      </c>
    </row>
    <row r="16" spans="1:44" x14ac:dyDescent="0.3">
      <c r="A16" s="62" t="str">
        <f>'Day-4'!A16</f>
        <v>18:00-19:00</v>
      </c>
      <c r="B16" s="108">
        <v>207</v>
      </c>
      <c r="C16" s="140">
        <v>36</v>
      </c>
      <c r="D16" s="108">
        <v>27</v>
      </c>
      <c r="E16" s="108">
        <v>21</v>
      </c>
      <c r="F16" s="108">
        <v>25</v>
      </c>
      <c r="G16" s="108">
        <v>19</v>
      </c>
      <c r="H16" s="108">
        <v>90</v>
      </c>
      <c r="I16" s="108">
        <v>0</v>
      </c>
      <c r="J16" s="108">
        <v>279</v>
      </c>
      <c r="K16" s="108">
        <v>32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63">
        <f t="shared" si="2"/>
        <v>554</v>
      </c>
      <c r="R16" s="45">
        <f t="shared" si="3"/>
        <v>182</v>
      </c>
      <c r="S16" s="45">
        <f t="shared" si="0"/>
        <v>736</v>
      </c>
      <c r="T16" s="45">
        <f t="shared" si="4"/>
        <v>0</v>
      </c>
      <c r="U16" s="45">
        <f t="shared" si="5"/>
        <v>736</v>
      </c>
      <c r="V16" s="46">
        <f t="shared" si="6"/>
        <v>1082</v>
      </c>
      <c r="W16" s="47" t="str">
        <f t="shared" si="1"/>
        <v>18:00-19:00</v>
      </c>
      <c r="X16" s="45">
        <f>B16+B50</f>
        <v>351</v>
      </c>
      <c r="Y16" s="45">
        <f>C16+C50</f>
        <v>53</v>
      </c>
      <c r="Z16" s="45">
        <f>D16+D50</f>
        <v>50</v>
      </c>
      <c r="AA16" s="45">
        <f>E16+E50</f>
        <v>46</v>
      </c>
      <c r="AB16" s="45">
        <f>F16+F50</f>
        <v>48</v>
      </c>
      <c r="AC16" s="45">
        <f>G16+G50</f>
        <v>48</v>
      </c>
      <c r="AD16" s="45">
        <f>H16+H50</f>
        <v>161</v>
      </c>
      <c r="AE16" s="45">
        <f>I16+I50</f>
        <v>0</v>
      </c>
      <c r="AF16" s="45">
        <f>J16+J50</f>
        <v>509</v>
      </c>
      <c r="AG16" s="45">
        <f>K16+K50</f>
        <v>84</v>
      </c>
      <c r="AH16" s="45">
        <f>L16+L50</f>
        <v>0</v>
      </c>
      <c r="AI16" s="45">
        <f>M16+M50</f>
        <v>2</v>
      </c>
      <c r="AJ16" s="45">
        <f>N16+N50</f>
        <v>0</v>
      </c>
      <c r="AK16" s="45">
        <f>O16+O50</f>
        <v>0</v>
      </c>
      <c r="AL16" s="45">
        <f>P16+P50</f>
        <v>0</v>
      </c>
      <c r="AM16" s="45">
        <f>Q16+Q50</f>
        <v>997</v>
      </c>
      <c r="AN16" s="45">
        <f>R16+R50</f>
        <v>355</v>
      </c>
      <c r="AO16" s="45">
        <f>S16+S50</f>
        <v>1352</v>
      </c>
      <c r="AP16" s="45">
        <f>T16+T50</f>
        <v>0</v>
      </c>
      <c r="AQ16" s="45">
        <f>U16+U50</f>
        <v>1352</v>
      </c>
      <c r="AR16" s="45">
        <f>V16+V50</f>
        <v>1989</v>
      </c>
    </row>
    <row r="17" spans="1:44" x14ac:dyDescent="0.3">
      <c r="A17" s="62" t="str">
        <f>'Day-4'!A17</f>
        <v>19:00-20:00</v>
      </c>
      <c r="B17" s="108">
        <v>158</v>
      </c>
      <c r="C17" s="140">
        <v>27</v>
      </c>
      <c r="D17" s="108">
        <v>15</v>
      </c>
      <c r="E17" s="108">
        <v>36</v>
      </c>
      <c r="F17" s="108">
        <v>19</v>
      </c>
      <c r="G17" s="108">
        <v>28</v>
      </c>
      <c r="H17" s="108">
        <v>55</v>
      </c>
      <c r="I17" s="108">
        <v>0</v>
      </c>
      <c r="J17" s="108">
        <v>216</v>
      </c>
      <c r="K17" s="108">
        <v>22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63">
        <f t="shared" si="2"/>
        <v>423</v>
      </c>
      <c r="R17" s="45">
        <f t="shared" si="3"/>
        <v>153</v>
      </c>
      <c r="S17" s="45">
        <f t="shared" si="0"/>
        <v>576</v>
      </c>
      <c r="T17" s="45">
        <f t="shared" si="4"/>
        <v>0</v>
      </c>
      <c r="U17" s="45">
        <f t="shared" si="5"/>
        <v>576</v>
      </c>
      <c r="V17" s="46">
        <f t="shared" si="6"/>
        <v>826.5</v>
      </c>
      <c r="W17" s="47" t="str">
        <f t="shared" si="1"/>
        <v>19:00-20:00</v>
      </c>
      <c r="X17" s="45">
        <f>B17+B51</f>
        <v>261</v>
      </c>
      <c r="Y17" s="45">
        <f>C17+C51</f>
        <v>43</v>
      </c>
      <c r="Z17" s="45">
        <f>D17+D51</f>
        <v>37</v>
      </c>
      <c r="AA17" s="45">
        <f>E17+E51</f>
        <v>61</v>
      </c>
      <c r="AB17" s="45">
        <f>F17+F51</f>
        <v>36</v>
      </c>
      <c r="AC17" s="45">
        <f>G17+G51</f>
        <v>52</v>
      </c>
      <c r="AD17" s="45">
        <f>H17+H51</f>
        <v>105</v>
      </c>
      <c r="AE17" s="45">
        <f>I17+I51</f>
        <v>0</v>
      </c>
      <c r="AF17" s="45">
        <f>J17+J51</f>
        <v>363</v>
      </c>
      <c r="AG17" s="45">
        <f>K17+K51</f>
        <v>34</v>
      </c>
      <c r="AH17" s="45">
        <f>L17+L51</f>
        <v>0</v>
      </c>
      <c r="AI17" s="45">
        <f>M17+M51</f>
        <v>2</v>
      </c>
      <c r="AJ17" s="45">
        <f>N17+N51</f>
        <v>0</v>
      </c>
      <c r="AK17" s="45">
        <f>O17+O51</f>
        <v>0</v>
      </c>
      <c r="AL17" s="45">
        <f>P17+P51</f>
        <v>0</v>
      </c>
      <c r="AM17" s="45">
        <f>Q17+Q51</f>
        <v>701</v>
      </c>
      <c r="AN17" s="45">
        <f>R17+R51</f>
        <v>293</v>
      </c>
      <c r="AO17" s="45">
        <f>S17+S51</f>
        <v>994</v>
      </c>
      <c r="AP17" s="45">
        <f>T17+T51</f>
        <v>0</v>
      </c>
      <c r="AQ17" s="45">
        <f>U17+U51</f>
        <v>994</v>
      </c>
      <c r="AR17" s="45">
        <f>V17+V51</f>
        <v>1479.5</v>
      </c>
    </row>
    <row r="18" spans="1:44" x14ac:dyDescent="0.3">
      <c r="A18" s="62" t="str">
        <f>'Day-4'!A18</f>
        <v>20:00-21:00</v>
      </c>
      <c r="B18" s="108">
        <v>97</v>
      </c>
      <c r="C18" s="140">
        <v>22</v>
      </c>
      <c r="D18" s="108">
        <v>14</v>
      </c>
      <c r="E18" s="108">
        <v>33</v>
      </c>
      <c r="F18" s="108">
        <v>22</v>
      </c>
      <c r="G18" s="108">
        <v>23</v>
      </c>
      <c r="H18" s="108">
        <v>73</v>
      </c>
      <c r="I18" s="108">
        <v>0</v>
      </c>
      <c r="J18" s="108">
        <v>117</v>
      </c>
      <c r="K18" s="108">
        <v>15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63">
        <f t="shared" si="2"/>
        <v>251</v>
      </c>
      <c r="R18" s="45">
        <f t="shared" si="3"/>
        <v>165</v>
      </c>
      <c r="S18" s="45">
        <f t="shared" si="0"/>
        <v>416</v>
      </c>
      <c r="T18" s="45">
        <f t="shared" si="4"/>
        <v>0</v>
      </c>
      <c r="U18" s="45">
        <f t="shared" si="5"/>
        <v>416</v>
      </c>
      <c r="V18" s="46">
        <f t="shared" si="6"/>
        <v>763.5</v>
      </c>
      <c r="W18" s="47" t="str">
        <f t="shared" si="1"/>
        <v>20:00-21:00</v>
      </c>
      <c r="X18" s="45">
        <f>B18+B52</f>
        <v>211</v>
      </c>
      <c r="Y18" s="45">
        <f>C18+C52</f>
        <v>37</v>
      </c>
      <c r="Z18" s="45">
        <f>D18+D52</f>
        <v>39</v>
      </c>
      <c r="AA18" s="45">
        <f>E18+E52</f>
        <v>57</v>
      </c>
      <c r="AB18" s="45">
        <f>F18+F52</f>
        <v>41</v>
      </c>
      <c r="AC18" s="45">
        <f>G18+G52</f>
        <v>47</v>
      </c>
      <c r="AD18" s="45">
        <f>H18+H52</f>
        <v>129</v>
      </c>
      <c r="AE18" s="45">
        <f>I18+I52</f>
        <v>0</v>
      </c>
      <c r="AF18" s="45">
        <f>J18+J52</f>
        <v>281</v>
      </c>
      <c r="AG18" s="45">
        <f>K18+K52</f>
        <v>23</v>
      </c>
      <c r="AH18" s="45">
        <f>L18+L52</f>
        <v>0</v>
      </c>
      <c r="AI18" s="45">
        <f>M18+M52</f>
        <v>0</v>
      </c>
      <c r="AJ18" s="45">
        <f>N18+N52</f>
        <v>0</v>
      </c>
      <c r="AK18" s="45">
        <f>O18+O52</f>
        <v>0</v>
      </c>
      <c r="AL18" s="45">
        <f>P18+P52</f>
        <v>0</v>
      </c>
      <c r="AM18" s="45">
        <f>Q18+Q52</f>
        <v>552</v>
      </c>
      <c r="AN18" s="45">
        <f>R18+R52</f>
        <v>313</v>
      </c>
      <c r="AO18" s="45">
        <f>S18+S52</f>
        <v>865</v>
      </c>
      <c r="AP18" s="45">
        <f>T18+T52</f>
        <v>0</v>
      </c>
      <c r="AQ18" s="45">
        <f>U18+U52</f>
        <v>865</v>
      </c>
      <c r="AR18" s="45">
        <f>V18+V52</f>
        <v>1454.5</v>
      </c>
    </row>
    <row r="19" spans="1:44" x14ac:dyDescent="0.3">
      <c r="A19" s="62" t="str">
        <f>'Day-4'!A19</f>
        <v>21:00-22:00</v>
      </c>
      <c r="B19" s="108">
        <v>78</v>
      </c>
      <c r="C19" s="142">
        <v>30</v>
      </c>
      <c r="D19" s="108">
        <v>22</v>
      </c>
      <c r="E19" s="108">
        <v>34</v>
      </c>
      <c r="F19" s="108">
        <v>32</v>
      </c>
      <c r="G19" s="108">
        <v>19</v>
      </c>
      <c r="H19" s="108">
        <v>92</v>
      </c>
      <c r="I19" s="108">
        <v>0</v>
      </c>
      <c r="J19" s="108">
        <v>87</v>
      </c>
      <c r="K19" s="108">
        <v>8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66">
        <f t="shared" si="2"/>
        <v>203</v>
      </c>
      <c r="R19" s="59">
        <f t="shared" si="3"/>
        <v>199</v>
      </c>
      <c r="S19" s="59">
        <f t="shared" si="0"/>
        <v>402</v>
      </c>
      <c r="T19" s="59">
        <f t="shared" si="4"/>
        <v>0</v>
      </c>
      <c r="U19" s="59">
        <f t="shared" si="5"/>
        <v>402</v>
      </c>
      <c r="V19" s="60">
        <f t="shared" si="6"/>
        <v>859.5</v>
      </c>
      <c r="W19" s="47" t="str">
        <f t="shared" si="1"/>
        <v>21:00-22:00</v>
      </c>
      <c r="X19" s="45">
        <f>B19+B53</f>
        <v>161</v>
      </c>
      <c r="Y19" s="45">
        <f>C19+C53</f>
        <v>46</v>
      </c>
      <c r="Z19" s="45">
        <f>D19+D53</f>
        <v>38</v>
      </c>
      <c r="AA19" s="45">
        <f>E19+E53</f>
        <v>61</v>
      </c>
      <c r="AB19" s="45">
        <f>F19+F53</f>
        <v>43</v>
      </c>
      <c r="AC19" s="45">
        <f>G19+G53</f>
        <v>34</v>
      </c>
      <c r="AD19" s="45">
        <f>H19+H53</f>
        <v>144</v>
      </c>
      <c r="AE19" s="45">
        <f>I19+I53</f>
        <v>0</v>
      </c>
      <c r="AF19" s="45">
        <f>J19+J53</f>
        <v>161</v>
      </c>
      <c r="AG19" s="45">
        <f>K19+K53</f>
        <v>13</v>
      </c>
      <c r="AH19" s="45">
        <f>L19+L53</f>
        <v>0</v>
      </c>
      <c r="AI19" s="45">
        <f>M19+M53</f>
        <v>0</v>
      </c>
      <c r="AJ19" s="45">
        <f>N19+N53</f>
        <v>0</v>
      </c>
      <c r="AK19" s="45">
        <f>O19+O53</f>
        <v>0</v>
      </c>
      <c r="AL19" s="45">
        <f>P19+P53</f>
        <v>0</v>
      </c>
      <c r="AM19" s="45">
        <f>Q19+Q53</f>
        <v>381</v>
      </c>
      <c r="AN19" s="45">
        <f>R19+R53</f>
        <v>320</v>
      </c>
      <c r="AO19" s="45">
        <f>S19+S53</f>
        <v>701</v>
      </c>
      <c r="AP19" s="45">
        <f>T19+T53</f>
        <v>0</v>
      </c>
      <c r="AQ19" s="45">
        <f>U19+U53</f>
        <v>701</v>
      </c>
      <c r="AR19" s="45">
        <f>V19+V53</f>
        <v>1401</v>
      </c>
    </row>
    <row r="20" spans="1:44" x14ac:dyDescent="0.3">
      <c r="A20" s="62" t="str">
        <f>'Day-4'!A20</f>
        <v>22:00-23:00</v>
      </c>
      <c r="B20" s="108">
        <v>50</v>
      </c>
      <c r="C20" s="140">
        <v>22</v>
      </c>
      <c r="D20" s="108">
        <v>17</v>
      </c>
      <c r="E20" s="108">
        <v>29</v>
      </c>
      <c r="F20" s="108">
        <v>22</v>
      </c>
      <c r="G20" s="108">
        <v>24</v>
      </c>
      <c r="H20" s="108">
        <v>82</v>
      </c>
      <c r="I20" s="108">
        <v>0</v>
      </c>
      <c r="J20" s="108">
        <v>63</v>
      </c>
      <c r="K20" s="108">
        <v>5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66">
        <f t="shared" si="2"/>
        <v>140</v>
      </c>
      <c r="R20" s="59">
        <f t="shared" si="3"/>
        <v>174</v>
      </c>
      <c r="S20" s="59">
        <f t="shared" si="0"/>
        <v>314</v>
      </c>
      <c r="T20" s="59">
        <f t="shared" si="4"/>
        <v>0</v>
      </c>
      <c r="U20" s="59">
        <f t="shared" si="5"/>
        <v>314</v>
      </c>
      <c r="V20" s="60">
        <f t="shared" si="6"/>
        <v>720</v>
      </c>
      <c r="W20" s="47" t="str">
        <f t="shared" si="1"/>
        <v>22:00-23:00</v>
      </c>
      <c r="X20" s="45">
        <f>B20+B54</f>
        <v>116</v>
      </c>
      <c r="Y20" s="45">
        <f>C20+C54</f>
        <v>29</v>
      </c>
      <c r="Z20" s="45">
        <f>D20+D54</f>
        <v>40</v>
      </c>
      <c r="AA20" s="45">
        <f>E20+E54</f>
        <v>58</v>
      </c>
      <c r="AB20" s="45">
        <f>F20+F54</f>
        <v>45</v>
      </c>
      <c r="AC20" s="45">
        <f>G20+G54</f>
        <v>49</v>
      </c>
      <c r="AD20" s="45">
        <f>H20+H54</f>
        <v>146</v>
      </c>
      <c r="AE20" s="45">
        <f>I20+I54</f>
        <v>0</v>
      </c>
      <c r="AF20" s="45">
        <f>J20+J54</f>
        <v>106</v>
      </c>
      <c r="AG20" s="45">
        <f>K20+K54</f>
        <v>7</v>
      </c>
      <c r="AH20" s="45">
        <f>L20+L54</f>
        <v>0</v>
      </c>
      <c r="AI20" s="45">
        <f>M20+M54</f>
        <v>0</v>
      </c>
      <c r="AJ20" s="45">
        <f>N20+N54</f>
        <v>0</v>
      </c>
      <c r="AK20" s="45">
        <f>O20+O54</f>
        <v>0</v>
      </c>
      <c r="AL20" s="45">
        <f>P20+P54</f>
        <v>0</v>
      </c>
      <c r="AM20" s="45">
        <f>Q20+Q54</f>
        <v>258</v>
      </c>
      <c r="AN20" s="45">
        <f>R20+R54</f>
        <v>338</v>
      </c>
      <c r="AO20" s="45">
        <f>S20+S54</f>
        <v>596</v>
      </c>
      <c r="AP20" s="45">
        <f>T20+T54</f>
        <v>0</v>
      </c>
      <c r="AQ20" s="45">
        <f>U20+U54</f>
        <v>596</v>
      </c>
      <c r="AR20" s="45">
        <f>V20+V54</f>
        <v>1329</v>
      </c>
    </row>
    <row r="21" spans="1:44" x14ac:dyDescent="0.3">
      <c r="A21" s="62" t="str">
        <f>'Day-4'!A21</f>
        <v>23:00-00:00</v>
      </c>
      <c r="B21" s="108">
        <v>30</v>
      </c>
      <c r="C21" s="140">
        <v>11</v>
      </c>
      <c r="D21" s="108">
        <v>9</v>
      </c>
      <c r="E21" s="108">
        <v>35</v>
      </c>
      <c r="F21" s="108">
        <v>19</v>
      </c>
      <c r="G21" s="108">
        <v>16</v>
      </c>
      <c r="H21" s="108">
        <v>83</v>
      </c>
      <c r="I21" s="108">
        <v>0</v>
      </c>
      <c r="J21" s="108">
        <v>25</v>
      </c>
      <c r="K21" s="108">
        <v>6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66">
        <f t="shared" si="2"/>
        <v>72</v>
      </c>
      <c r="R21" s="59">
        <f t="shared" si="3"/>
        <v>162</v>
      </c>
      <c r="S21" s="59">
        <f t="shared" si="0"/>
        <v>234</v>
      </c>
      <c r="T21" s="59">
        <f t="shared" si="4"/>
        <v>0</v>
      </c>
      <c r="U21" s="59">
        <f t="shared" si="5"/>
        <v>234</v>
      </c>
      <c r="V21" s="60">
        <f t="shared" si="6"/>
        <v>621.5</v>
      </c>
      <c r="W21" s="47" t="str">
        <f t="shared" si="1"/>
        <v>23:00-00:00</v>
      </c>
      <c r="X21" s="45">
        <f>B21+B55</f>
        <v>86</v>
      </c>
      <c r="Y21" s="45">
        <f>C21+C55</f>
        <v>18</v>
      </c>
      <c r="Z21" s="45">
        <f>D21+D55</f>
        <v>16</v>
      </c>
      <c r="AA21" s="45">
        <f>E21+E55</f>
        <v>58</v>
      </c>
      <c r="AB21" s="45">
        <f>F21+F55</f>
        <v>30</v>
      </c>
      <c r="AC21" s="45">
        <f>G21+G55</f>
        <v>31</v>
      </c>
      <c r="AD21" s="45">
        <f>H21+H55</f>
        <v>162</v>
      </c>
      <c r="AE21" s="45">
        <f>I21+I55</f>
        <v>0</v>
      </c>
      <c r="AF21" s="45">
        <f>J21+J55</f>
        <v>61</v>
      </c>
      <c r="AG21" s="45">
        <f>K21+K55</f>
        <v>6</v>
      </c>
      <c r="AH21" s="45">
        <f>L21+L55</f>
        <v>0</v>
      </c>
      <c r="AI21" s="45">
        <f>M21+M55</f>
        <v>2</v>
      </c>
      <c r="AJ21" s="45">
        <f>N21+N55</f>
        <v>0</v>
      </c>
      <c r="AK21" s="45">
        <f>O21+O55</f>
        <v>0</v>
      </c>
      <c r="AL21" s="45">
        <f>P21+P55</f>
        <v>0</v>
      </c>
      <c r="AM21" s="45">
        <f>Q21+Q55</f>
        <v>171</v>
      </c>
      <c r="AN21" s="45">
        <f>R21+R55</f>
        <v>299</v>
      </c>
      <c r="AO21" s="45">
        <f>S21+S55</f>
        <v>470</v>
      </c>
      <c r="AP21" s="45">
        <f>T21+T55</f>
        <v>0</v>
      </c>
      <c r="AQ21" s="45">
        <f>U21+U55</f>
        <v>470</v>
      </c>
      <c r="AR21" s="45">
        <f>V21+V55</f>
        <v>1200.5</v>
      </c>
    </row>
    <row r="22" spans="1:44" x14ac:dyDescent="0.3">
      <c r="A22" s="62" t="str">
        <f>'Day-4'!A22</f>
        <v>00:00-01:00</v>
      </c>
      <c r="B22" s="108">
        <v>9</v>
      </c>
      <c r="C22" s="140">
        <v>3</v>
      </c>
      <c r="D22" s="108">
        <v>9</v>
      </c>
      <c r="E22" s="108">
        <v>21</v>
      </c>
      <c r="F22" s="108">
        <v>9</v>
      </c>
      <c r="G22" s="108">
        <v>8</v>
      </c>
      <c r="H22" s="108">
        <v>89</v>
      </c>
      <c r="I22" s="108">
        <v>0</v>
      </c>
      <c r="J22" s="108">
        <v>10</v>
      </c>
      <c r="K22" s="108">
        <v>2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66">
        <f t="shared" si="2"/>
        <v>24</v>
      </c>
      <c r="R22" s="59">
        <f t="shared" si="3"/>
        <v>136</v>
      </c>
      <c r="S22" s="59">
        <f t="shared" si="0"/>
        <v>160</v>
      </c>
      <c r="T22" s="59">
        <f t="shared" si="4"/>
        <v>0</v>
      </c>
      <c r="U22" s="59">
        <f t="shared" si="5"/>
        <v>160</v>
      </c>
      <c r="V22" s="60">
        <f t="shared" si="6"/>
        <v>517</v>
      </c>
      <c r="W22" s="47" t="str">
        <f t="shared" si="1"/>
        <v>00:00-01:00</v>
      </c>
      <c r="X22" s="45">
        <f>B22+B56</f>
        <v>36</v>
      </c>
      <c r="Y22" s="45">
        <f>C22+C56</f>
        <v>10</v>
      </c>
      <c r="Z22" s="45">
        <f>D22+D56</f>
        <v>30</v>
      </c>
      <c r="AA22" s="45">
        <f>E22+E56</f>
        <v>44</v>
      </c>
      <c r="AB22" s="45">
        <f>F22+F56</f>
        <v>32</v>
      </c>
      <c r="AC22" s="45">
        <f>G22+G56</f>
        <v>35</v>
      </c>
      <c r="AD22" s="45">
        <f>H22+H56</f>
        <v>186</v>
      </c>
      <c r="AE22" s="45">
        <f>I22+I56</f>
        <v>0</v>
      </c>
      <c r="AF22" s="45">
        <f>J22+J56</f>
        <v>24</v>
      </c>
      <c r="AG22" s="45">
        <f>K22+K56</f>
        <v>2</v>
      </c>
      <c r="AH22" s="45">
        <f>L22+L56</f>
        <v>0</v>
      </c>
      <c r="AI22" s="45">
        <f>M22+M56</f>
        <v>0</v>
      </c>
      <c r="AJ22" s="45">
        <f>N22+N56</f>
        <v>0</v>
      </c>
      <c r="AK22" s="45">
        <f>O22+O56</f>
        <v>0</v>
      </c>
      <c r="AL22" s="45">
        <f>P22+P56</f>
        <v>0</v>
      </c>
      <c r="AM22" s="45">
        <f>Q22+Q56</f>
        <v>72</v>
      </c>
      <c r="AN22" s="45">
        <f>R22+R56</f>
        <v>327</v>
      </c>
      <c r="AO22" s="45">
        <f>S22+S56</f>
        <v>399</v>
      </c>
      <c r="AP22" s="45">
        <f>T22+T56</f>
        <v>0</v>
      </c>
      <c r="AQ22" s="45">
        <f>U22+U56</f>
        <v>399</v>
      </c>
      <c r="AR22" s="45">
        <f>V22+V56</f>
        <v>1214</v>
      </c>
    </row>
    <row r="23" spans="1:44" x14ac:dyDescent="0.3">
      <c r="A23" s="62" t="str">
        <f>'Day-4'!A23</f>
        <v>01:00-02:00</v>
      </c>
      <c r="B23" s="108">
        <v>16</v>
      </c>
      <c r="C23" s="140">
        <v>2</v>
      </c>
      <c r="D23" s="108">
        <v>13</v>
      </c>
      <c r="E23" s="108">
        <v>23</v>
      </c>
      <c r="F23" s="108">
        <v>9</v>
      </c>
      <c r="G23" s="108">
        <v>7</v>
      </c>
      <c r="H23" s="108">
        <v>74</v>
      </c>
      <c r="I23" s="108">
        <v>0</v>
      </c>
      <c r="J23" s="108">
        <v>6</v>
      </c>
      <c r="K23" s="108">
        <v>5</v>
      </c>
      <c r="L23" s="108">
        <v>0</v>
      </c>
      <c r="M23" s="108">
        <v>2</v>
      </c>
      <c r="N23" s="108">
        <v>0</v>
      </c>
      <c r="O23" s="108">
        <v>0</v>
      </c>
      <c r="P23" s="108">
        <v>0</v>
      </c>
      <c r="Q23" s="66">
        <f t="shared" si="2"/>
        <v>29</v>
      </c>
      <c r="R23" s="59">
        <f t="shared" si="3"/>
        <v>128</v>
      </c>
      <c r="S23" s="59">
        <f t="shared" si="0"/>
        <v>157</v>
      </c>
      <c r="T23" s="59">
        <f t="shared" si="4"/>
        <v>0</v>
      </c>
      <c r="U23" s="59">
        <f t="shared" si="5"/>
        <v>157</v>
      </c>
      <c r="V23" s="60">
        <f t="shared" si="6"/>
        <v>467.5</v>
      </c>
      <c r="W23" s="47" t="str">
        <f t="shared" si="1"/>
        <v>01:00-02:00</v>
      </c>
      <c r="X23" s="45">
        <f>B23+B57</f>
        <v>28</v>
      </c>
      <c r="Y23" s="45">
        <f>C23+C57</f>
        <v>6</v>
      </c>
      <c r="Z23" s="45">
        <f>D23+D57</f>
        <v>22</v>
      </c>
      <c r="AA23" s="45">
        <f>E23+E57</f>
        <v>38</v>
      </c>
      <c r="AB23" s="45">
        <f>F23+F57</f>
        <v>26</v>
      </c>
      <c r="AC23" s="45">
        <f>G23+G57</f>
        <v>23</v>
      </c>
      <c r="AD23" s="45">
        <f>H23+H57</f>
        <v>140</v>
      </c>
      <c r="AE23" s="45">
        <f>I23+I57</f>
        <v>0</v>
      </c>
      <c r="AF23" s="45">
        <f>J23+J57</f>
        <v>17</v>
      </c>
      <c r="AG23" s="45">
        <f>K23+K57</f>
        <v>7</v>
      </c>
      <c r="AH23" s="45">
        <f>L23+L57</f>
        <v>0</v>
      </c>
      <c r="AI23" s="45">
        <f>M23+M57</f>
        <v>2</v>
      </c>
      <c r="AJ23" s="45">
        <f>N23+N57</f>
        <v>0</v>
      </c>
      <c r="AK23" s="45">
        <f>O23+O57</f>
        <v>0</v>
      </c>
      <c r="AL23" s="45">
        <f>P23+P57</f>
        <v>0</v>
      </c>
      <c r="AM23" s="45">
        <f>Q23+Q57</f>
        <v>58</v>
      </c>
      <c r="AN23" s="45">
        <f>R23+R57</f>
        <v>251</v>
      </c>
      <c r="AO23" s="45">
        <f>S23+S57</f>
        <v>309</v>
      </c>
      <c r="AP23" s="45">
        <f>T23+T57</f>
        <v>0</v>
      </c>
      <c r="AQ23" s="45">
        <f>U23+U57</f>
        <v>309</v>
      </c>
      <c r="AR23" s="45">
        <f>V23+V57</f>
        <v>926.5</v>
      </c>
    </row>
    <row r="24" spans="1:44" x14ac:dyDescent="0.3">
      <c r="A24" s="62" t="str">
        <f>'Day-4'!A24</f>
        <v>02:00-03:00</v>
      </c>
      <c r="B24" s="108">
        <v>5</v>
      </c>
      <c r="C24" s="140">
        <v>2</v>
      </c>
      <c r="D24" s="108">
        <v>8</v>
      </c>
      <c r="E24" s="108">
        <v>16</v>
      </c>
      <c r="F24" s="108">
        <v>8</v>
      </c>
      <c r="G24" s="108">
        <v>14</v>
      </c>
      <c r="H24" s="108">
        <v>87</v>
      </c>
      <c r="I24" s="108">
        <v>0</v>
      </c>
      <c r="J24" s="108">
        <v>11</v>
      </c>
      <c r="K24" s="108">
        <v>3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2"/>
        <v>21</v>
      </c>
      <c r="R24" s="59">
        <f t="shared" si="3"/>
        <v>133</v>
      </c>
      <c r="S24" s="59">
        <f t="shared" si="0"/>
        <v>154</v>
      </c>
      <c r="T24" s="59">
        <f t="shared" si="4"/>
        <v>0</v>
      </c>
      <c r="U24" s="59">
        <f t="shared" si="5"/>
        <v>154</v>
      </c>
      <c r="V24" s="60">
        <f t="shared" si="6"/>
        <v>509</v>
      </c>
      <c r="W24" s="47" t="str">
        <f t="shared" si="1"/>
        <v>02:00-03:00</v>
      </c>
      <c r="X24" s="45">
        <f>B24+B58</f>
        <v>23</v>
      </c>
      <c r="Y24" s="45">
        <f>C24+C58</f>
        <v>8</v>
      </c>
      <c r="Z24" s="45">
        <f>D24+D58</f>
        <v>15</v>
      </c>
      <c r="AA24" s="45">
        <f>E24+E58</f>
        <v>43</v>
      </c>
      <c r="AB24" s="45">
        <f>F24+F58</f>
        <v>20</v>
      </c>
      <c r="AC24" s="45">
        <f>G24+G58</f>
        <v>45</v>
      </c>
      <c r="AD24" s="45">
        <f>H24+H58</f>
        <v>139</v>
      </c>
      <c r="AE24" s="45">
        <f>I24+I58</f>
        <v>0</v>
      </c>
      <c r="AF24" s="45">
        <f>J24+J58</f>
        <v>16</v>
      </c>
      <c r="AG24" s="45">
        <f>K24+K58</f>
        <v>5</v>
      </c>
      <c r="AH24" s="45">
        <f>L24+L58</f>
        <v>0</v>
      </c>
      <c r="AI24" s="45">
        <f>M24+M58</f>
        <v>0</v>
      </c>
      <c r="AJ24" s="45">
        <f>N24+N58</f>
        <v>0</v>
      </c>
      <c r="AK24" s="45">
        <f>O24+O58</f>
        <v>0</v>
      </c>
      <c r="AL24" s="45">
        <f>P24+P58</f>
        <v>0</v>
      </c>
      <c r="AM24" s="45">
        <f>Q24+Q58</f>
        <v>52</v>
      </c>
      <c r="AN24" s="45">
        <f>R24+R58</f>
        <v>262</v>
      </c>
      <c r="AO24" s="45">
        <f>S24+S58</f>
        <v>314</v>
      </c>
      <c r="AP24" s="45">
        <f>T24+T58</f>
        <v>0</v>
      </c>
      <c r="AQ24" s="45">
        <f>U24+U58</f>
        <v>314</v>
      </c>
      <c r="AR24" s="45">
        <f>V24+V58</f>
        <v>960</v>
      </c>
    </row>
    <row r="25" spans="1:44" x14ac:dyDescent="0.3">
      <c r="A25" s="62" t="str">
        <f>'Day-4'!A25</f>
        <v>03:00-04:00</v>
      </c>
      <c r="B25" s="108">
        <v>21</v>
      </c>
      <c r="C25" s="140">
        <v>2</v>
      </c>
      <c r="D25" s="108">
        <v>5</v>
      </c>
      <c r="E25" s="108">
        <v>13</v>
      </c>
      <c r="F25" s="108">
        <v>18</v>
      </c>
      <c r="G25" s="108">
        <v>14</v>
      </c>
      <c r="H25" s="108">
        <v>83</v>
      </c>
      <c r="I25" s="108">
        <v>0</v>
      </c>
      <c r="J25" s="108">
        <v>7</v>
      </c>
      <c r="K25" s="108">
        <v>3</v>
      </c>
      <c r="L25" s="108">
        <v>0</v>
      </c>
      <c r="M25" s="108">
        <v>2</v>
      </c>
      <c r="N25" s="108">
        <v>0</v>
      </c>
      <c r="O25" s="108">
        <v>0</v>
      </c>
      <c r="P25" s="108">
        <v>0</v>
      </c>
      <c r="Q25" s="66">
        <f t="shared" si="2"/>
        <v>33</v>
      </c>
      <c r="R25" s="59">
        <f t="shared" si="3"/>
        <v>135</v>
      </c>
      <c r="S25" s="59">
        <f t="shared" si="0"/>
        <v>168</v>
      </c>
      <c r="T25" s="59">
        <f t="shared" si="4"/>
        <v>0</v>
      </c>
      <c r="U25" s="59">
        <f t="shared" si="5"/>
        <v>168</v>
      </c>
      <c r="V25" s="60">
        <f t="shared" si="6"/>
        <v>536.5</v>
      </c>
      <c r="W25" s="47" t="str">
        <f t="shared" si="1"/>
        <v>03:00-04:00</v>
      </c>
      <c r="X25" s="45">
        <f>B25+B59</f>
        <v>32</v>
      </c>
      <c r="Y25" s="45">
        <f>C25+C59</f>
        <v>7</v>
      </c>
      <c r="Z25" s="45">
        <f>D25+D59</f>
        <v>14</v>
      </c>
      <c r="AA25" s="45">
        <f>E25+E59</f>
        <v>36</v>
      </c>
      <c r="AB25" s="45">
        <f>F25+F59</f>
        <v>39</v>
      </c>
      <c r="AC25" s="45">
        <f>G25+G59</f>
        <v>44</v>
      </c>
      <c r="AD25" s="45">
        <f>H25+H59</f>
        <v>132</v>
      </c>
      <c r="AE25" s="45">
        <f>I25+I59</f>
        <v>0</v>
      </c>
      <c r="AF25" s="45">
        <f>J25+J59</f>
        <v>20</v>
      </c>
      <c r="AG25" s="45">
        <f>K25+K59</f>
        <v>6</v>
      </c>
      <c r="AH25" s="45">
        <f>L25+L59</f>
        <v>0</v>
      </c>
      <c r="AI25" s="45">
        <f>M25+M59</f>
        <v>2</v>
      </c>
      <c r="AJ25" s="45">
        <f>N25+N59</f>
        <v>0</v>
      </c>
      <c r="AK25" s="45">
        <f>O25+O59</f>
        <v>0</v>
      </c>
      <c r="AL25" s="45">
        <f>P25+P59</f>
        <v>0</v>
      </c>
      <c r="AM25" s="45">
        <f>Q25+Q59</f>
        <v>65</v>
      </c>
      <c r="AN25" s="45">
        <f>R25+R59</f>
        <v>267</v>
      </c>
      <c r="AO25" s="45">
        <f>S25+S59</f>
        <v>332</v>
      </c>
      <c r="AP25" s="45">
        <f>T25+T59</f>
        <v>0</v>
      </c>
      <c r="AQ25" s="45">
        <f>U25+U59</f>
        <v>332</v>
      </c>
      <c r="AR25" s="45">
        <f>V25+V59</f>
        <v>989</v>
      </c>
    </row>
    <row r="26" spans="1:44" x14ac:dyDescent="0.3">
      <c r="A26" s="62" t="str">
        <f>'Day-4'!A26</f>
        <v>04:00-05:00</v>
      </c>
      <c r="B26" s="108">
        <v>16</v>
      </c>
      <c r="C26" s="140">
        <v>2</v>
      </c>
      <c r="D26" s="108">
        <v>12</v>
      </c>
      <c r="E26" s="108">
        <v>13</v>
      </c>
      <c r="F26" s="108">
        <v>8</v>
      </c>
      <c r="G26" s="108">
        <v>24</v>
      </c>
      <c r="H26" s="108">
        <v>50</v>
      </c>
      <c r="I26" s="108">
        <v>0</v>
      </c>
      <c r="J26" s="108">
        <v>19</v>
      </c>
      <c r="K26" s="108">
        <v>8</v>
      </c>
      <c r="L26" s="108">
        <v>0</v>
      </c>
      <c r="M26" s="108">
        <v>4</v>
      </c>
      <c r="N26" s="108">
        <v>0</v>
      </c>
      <c r="O26" s="108">
        <v>0</v>
      </c>
      <c r="P26" s="108">
        <v>2</v>
      </c>
      <c r="Q26" s="66">
        <f t="shared" si="2"/>
        <v>45</v>
      </c>
      <c r="R26" s="59">
        <f t="shared" si="3"/>
        <v>113</v>
      </c>
      <c r="S26" s="59">
        <f t="shared" si="0"/>
        <v>158</v>
      </c>
      <c r="T26" s="59">
        <f t="shared" si="4"/>
        <v>0</v>
      </c>
      <c r="U26" s="59">
        <f t="shared" si="5"/>
        <v>158</v>
      </c>
      <c r="V26" s="60">
        <f t="shared" si="6"/>
        <v>419</v>
      </c>
      <c r="W26" s="47" t="str">
        <f t="shared" si="1"/>
        <v>04:00-05:00</v>
      </c>
      <c r="X26" s="45">
        <f>B26+B60</f>
        <v>32</v>
      </c>
      <c r="Y26" s="45">
        <f>C26+C60</f>
        <v>14</v>
      </c>
      <c r="Z26" s="45">
        <f>D26+D60</f>
        <v>19</v>
      </c>
      <c r="AA26" s="45">
        <f>E26+E60</f>
        <v>28</v>
      </c>
      <c r="AB26" s="45">
        <f>F26+F60</f>
        <v>25</v>
      </c>
      <c r="AC26" s="45">
        <f>G26+G60</f>
        <v>50</v>
      </c>
      <c r="AD26" s="45">
        <f>H26+H60</f>
        <v>119</v>
      </c>
      <c r="AE26" s="45">
        <f>I26+I60</f>
        <v>0</v>
      </c>
      <c r="AF26" s="45">
        <f>J26+J60</f>
        <v>48</v>
      </c>
      <c r="AG26" s="45">
        <f>K26+K60</f>
        <v>11</v>
      </c>
      <c r="AH26" s="45">
        <f>L26+L60</f>
        <v>0</v>
      </c>
      <c r="AI26" s="45">
        <f>M26+M60</f>
        <v>6</v>
      </c>
      <c r="AJ26" s="45">
        <f>N26+N60</f>
        <v>0</v>
      </c>
      <c r="AK26" s="45">
        <f>O26+O60</f>
        <v>0</v>
      </c>
      <c r="AL26" s="45">
        <f>P26+P60</f>
        <v>2</v>
      </c>
      <c r="AM26" s="45">
        <f>Q26+Q60</f>
        <v>105</v>
      </c>
      <c r="AN26" s="45">
        <f>R26+R60</f>
        <v>249</v>
      </c>
      <c r="AO26" s="45">
        <f>S26+S60</f>
        <v>354</v>
      </c>
      <c r="AP26" s="45">
        <f>T26+T60</f>
        <v>0</v>
      </c>
      <c r="AQ26" s="45">
        <f>U26+U60</f>
        <v>354</v>
      </c>
      <c r="AR26" s="45">
        <f>V26+V60</f>
        <v>966.5</v>
      </c>
    </row>
    <row r="27" spans="1:44" x14ac:dyDescent="0.3">
      <c r="A27" s="62" t="str">
        <f>'Day-4'!A27</f>
        <v>05:00-06:00</v>
      </c>
      <c r="B27" s="108">
        <v>34</v>
      </c>
      <c r="C27" s="140">
        <v>2</v>
      </c>
      <c r="D27" s="108">
        <v>14</v>
      </c>
      <c r="E27" s="108">
        <v>16</v>
      </c>
      <c r="F27" s="108">
        <v>17</v>
      </c>
      <c r="G27" s="108">
        <v>9</v>
      </c>
      <c r="H27" s="108">
        <v>74</v>
      </c>
      <c r="I27" s="108">
        <v>0</v>
      </c>
      <c r="J27" s="108">
        <v>64</v>
      </c>
      <c r="K27" s="108">
        <v>17</v>
      </c>
      <c r="L27" s="108">
        <v>0</v>
      </c>
      <c r="M27" s="108">
        <v>3</v>
      </c>
      <c r="N27" s="108">
        <v>0</v>
      </c>
      <c r="O27" s="108">
        <v>0</v>
      </c>
      <c r="P27" s="108">
        <v>0</v>
      </c>
      <c r="Q27" s="66">
        <f t="shared" si="2"/>
        <v>117</v>
      </c>
      <c r="R27" s="59">
        <f t="shared" si="3"/>
        <v>133</v>
      </c>
      <c r="S27" s="59">
        <f t="shared" si="0"/>
        <v>250</v>
      </c>
      <c r="T27" s="59">
        <f t="shared" si="4"/>
        <v>0</v>
      </c>
      <c r="U27" s="59">
        <f t="shared" si="5"/>
        <v>250</v>
      </c>
      <c r="V27" s="60">
        <f t="shared" si="6"/>
        <v>551.5</v>
      </c>
      <c r="W27" s="47" t="str">
        <f t="shared" si="1"/>
        <v>05:00-06:00</v>
      </c>
      <c r="X27" s="45">
        <f>B27+B61</f>
        <v>62</v>
      </c>
      <c r="Y27" s="45">
        <f>C27+C61</f>
        <v>20</v>
      </c>
      <c r="Z27" s="45">
        <f>D27+D61</f>
        <v>25</v>
      </c>
      <c r="AA27" s="45">
        <f>E27+E61</f>
        <v>40</v>
      </c>
      <c r="AB27" s="45">
        <f>F27+F61</f>
        <v>42</v>
      </c>
      <c r="AC27" s="45">
        <f>G27+G61</f>
        <v>41</v>
      </c>
      <c r="AD27" s="45">
        <f>H27+H61</f>
        <v>123</v>
      </c>
      <c r="AE27" s="45">
        <f>I27+I61</f>
        <v>0</v>
      </c>
      <c r="AF27" s="45">
        <f>J27+J61</f>
        <v>163</v>
      </c>
      <c r="AG27" s="45">
        <f>K27+K61</f>
        <v>45</v>
      </c>
      <c r="AH27" s="45">
        <f>L27+L61</f>
        <v>0</v>
      </c>
      <c r="AI27" s="45">
        <f>M27+M61</f>
        <v>6</v>
      </c>
      <c r="AJ27" s="45">
        <f>N27+N61</f>
        <v>0</v>
      </c>
      <c r="AK27" s="45">
        <f>O27+O61</f>
        <v>0</v>
      </c>
      <c r="AL27" s="45">
        <f>P27+P61</f>
        <v>3</v>
      </c>
      <c r="AM27" s="45">
        <f>Q27+Q61</f>
        <v>290</v>
      </c>
      <c r="AN27" s="45">
        <f>R27+R61</f>
        <v>280</v>
      </c>
      <c r="AO27" s="45">
        <f>S27+S61</f>
        <v>570</v>
      </c>
      <c r="AP27" s="45">
        <f>T27+T61</f>
        <v>0</v>
      </c>
      <c r="AQ27" s="45">
        <f>U27+U61</f>
        <v>570</v>
      </c>
      <c r="AR27" s="45">
        <f>V27+V61</f>
        <v>1176.5</v>
      </c>
    </row>
    <row r="28" spans="1:44" x14ac:dyDescent="0.3">
      <c r="A28" s="62" t="str">
        <f>'Day-4'!A28</f>
        <v>06:00-07:00</v>
      </c>
      <c r="B28" s="108">
        <v>45</v>
      </c>
      <c r="C28" s="140">
        <v>16</v>
      </c>
      <c r="D28" s="108">
        <v>13</v>
      </c>
      <c r="E28" s="108">
        <v>14</v>
      </c>
      <c r="F28" s="108">
        <v>14</v>
      </c>
      <c r="G28" s="108">
        <v>15</v>
      </c>
      <c r="H28" s="108">
        <v>31</v>
      </c>
      <c r="I28" s="108">
        <v>0</v>
      </c>
      <c r="J28" s="108">
        <v>139</v>
      </c>
      <c r="K28" s="108">
        <v>18</v>
      </c>
      <c r="L28" s="108">
        <v>0</v>
      </c>
      <c r="M28" s="108">
        <v>2</v>
      </c>
      <c r="N28" s="108">
        <v>0</v>
      </c>
      <c r="O28" s="108">
        <v>0</v>
      </c>
      <c r="P28" s="108">
        <v>0</v>
      </c>
      <c r="Q28" s="66">
        <f t="shared" si="2"/>
        <v>218</v>
      </c>
      <c r="R28" s="59">
        <f t="shared" si="3"/>
        <v>89</v>
      </c>
      <c r="S28" s="59">
        <f t="shared" si="0"/>
        <v>307</v>
      </c>
      <c r="T28" s="59">
        <f t="shared" si="4"/>
        <v>0</v>
      </c>
      <c r="U28" s="59">
        <f t="shared" si="5"/>
        <v>307</v>
      </c>
      <c r="V28" s="60">
        <f t="shared" si="6"/>
        <v>450</v>
      </c>
      <c r="W28" s="47" t="str">
        <f t="shared" si="1"/>
        <v>06:00-07:00</v>
      </c>
      <c r="X28" s="45">
        <f>B28+B62</f>
        <v>100</v>
      </c>
      <c r="Y28" s="45">
        <f>C28+C62</f>
        <v>52</v>
      </c>
      <c r="Z28" s="45">
        <f>D28+D62</f>
        <v>38</v>
      </c>
      <c r="AA28" s="45">
        <f>E28+E62</f>
        <v>48</v>
      </c>
      <c r="AB28" s="45">
        <f>F28+F62</f>
        <v>32</v>
      </c>
      <c r="AC28" s="45">
        <f>G28+G62</f>
        <v>52</v>
      </c>
      <c r="AD28" s="45">
        <f>H28+H62</f>
        <v>130</v>
      </c>
      <c r="AE28" s="45">
        <f>I28+I62</f>
        <v>0</v>
      </c>
      <c r="AF28" s="45">
        <f>J28+J62</f>
        <v>236</v>
      </c>
      <c r="AG28" s="45">
        <f>K28+K62</f>
        <v>46</v>
      </c>
      <c r="AH28" s="45">
        <f>L28+L62</f>
        <v>0</v>
      </c>
      <c r="AI28" s="45">
        <f>M28+M62</f>
        <v>5</v>
      </c>
      <c r="AJ28" s="45">
        <f>N28+N62</f>
        <v>0</v>
      </c>
      <c r="AK28" s="45">
        <f>O28+O62</f>
        <v>0</v>
      </c>
      <c r="AL28" s="45">
        <f>P28+P62</f>
        <v>0</v>
      </c>
      <c r="AM28" s="45">
        <f>Q28+Q62</f>
        <v>434</v>
      </c>
      <c r="AN28" s="45">
        <f>R28+R62</f>
        <v>305</v>
      </c>
      <c r="AO28" s="45">
        <f>S28+S62</f>
        <v>739</v>
      </c>
      <c r="AP28" s="45">
        <f>T28+T62</f>
        <v>0</v>
      </c>
      <c r="AQ28" s="45">
        <f>U28+U62</f>
        <v>739</v>
      </c>
      <c r="AR28" s="45">
        <f>V28+V62</f>
        <v>1389.5</v>
      </c>
    </row>
    <row r="29" spans="1:44" x14ac:dyDescent="0.3">
      <c r="A29" s="62" t="str">
        <f>'Day-4'!A29</f>
        <v>07:00-08:00</v>
      </c>
      <c r="B29" s="108">
        <v>93</v>
      </c>
      <c r="C29" s="140">
        <v>26</v>
      </c>
      <c r="D29" s="108">
        <v>11</v>
      </c>
      <c r="E29" s="108">
        <v>24</v>
      </c>
      <c r="F29" s="108">
        <v>18</v>
      </c>
      <c r="G29" s="108">
        <v>23</v>
      </c>
      <c r="H29" s="108">
        <v>53</v>
      </c>
      <c r="I29" s="108">
        <v>0</v>
      </c>
      <c r="J29" s="108">
        <v>196</v>
      </c>
      <c r="K29" s="108">
        <v>29</v>
      </c>
      <c r="L29" s="108">
        <v>0</v>
      </c>
      <c r="M29" s="108">
        <v>2</v>
      </c>
      <c r="N29" s="108">
        <v>0</v>
      </c>
      <c r="O29" s="108">
        <v>0</v>
      </c>
      <c r="P29" s="108">
        <v>0</v>
      </c>
      <c r="Q29" s="66">
        <f t="shared" si="2"/>
        <v>344</v>
      </c>
      <c r="R29" s="59">
        <f t="shared" si="3"/>
        <v>131</v>
      </c>
      <c r="S29" s="59">
        <f t="shared" si="0"/>
        <v>475</v>
      </c>
      <c r="T29" s="59">
        <f t="shared" si="4"/>
        <v>0</v>
      </c>
      <c r="U29" s="59">
        <f t="shared" si="5"/>
        <v>475</v>
      </c>
      <c r="V29" s="60">
        <f t="shared" si="6"/>
        <v>715.5</v>
      </c>
      <c r="W29" s="47" t="str">
        <f t="shared" si="1"/>
        <v>07:00-08:00</v>
      </c>
      <c r="X29" s="45">
        <f>B29+B63</f>
        <v>184</v>
      </c>
      <c r="Y29" s="45">
        <f>C29+C63</f>
        <v>58</v>
      </c>
      <c r="Z29" s="45">
        <f>D29+D63</f>
        <v>27</v>
      </c>
      <c r="AA29" s="45">
        <f>E29+E63</f>
        <v>47</v>
      </c>
      <c r="AB29" s="45">
        <f>F29+F63</f>
        <v>44</v>
      </c>
      <c r="AC29" s="45">
        <f>G29+G63</f>
        <v>53</v>
      </c>
      <c r="AD29" s="45">
        <f>H29+H63</f>
        <v>138</v>
      </c>
      <c r="AE29" s="45">
        <f>I29+I63</f>
        <v>0</v>
      </c>
      <c r="AF29" s="45">
        <f>J29+J63</f>
        <v>352</v>
      </c>
      <c r="AG29" s="45">
        <f>K29+K63</f>
        <v>61</v>
      </c>
      <c r="AH29" s="45">
        <f>L29+L63</f>
        <v>0</v>
      </c>
      <c r="AI29" s="45">
        <f>M29+M63</f>
        <v>5</v>
      </c>
      <c r="AJ29" s="45">
        <f>N29+N63</f>
        <v>0</v>
      </c>
      <c r="AK29" s="45">
        <f>O29+O63</f>
        <v>0</v>
      </c>
      <c r="AL29" s="45">
        <f>P29+P63</f>
        <v>0</v>
      </c>
      <c r="AM29" s="45">
        <f>Q29+Q63</f>
        <v>655</v>
      </c>
      <c r="AN29" s="45">
        <f>R29+R63</f>
        <v>314</v>
      </c>
      <c r="AO29" s="45">
        <f>S29+S63</f>
        <v>969</v>
      </c>
      <c r="AP29" s="45">
        <f>T29+T63</f>
        <v>0</v>
      </c>
      <c r="AQ29" s="45">
        <f>U29+U63</f>
        <v>969</v>
      </c>
      <c r="AR29" s="45">
        <f>V29+V63</f>
        <v>1627</v>
      </c>
    </row>
    <row r="30" spans="1:44" x14ac:dyDescent="0.3">
      <c r="A30" s="62" t="str">
        <f>'Day-4'!A30</f>
        <v>08:00-09:00</v>
      </c>
      <c r="B30" s="108">
        <v>121</v>
      </c>
      <c r="C30" s="140">
        <v>28</v>
      </c>
      <c r="D30" s="108">
        <v>17</v>
      </c>
      <c r="E30" s="108">
        <v>16</v>
      </c>
      <c r="F30" s="108">
        <v>11</v>
      </c>
      <c r="G30" s="108">
        <v>25</v>
      </c>
      <c r="H30" s="108">
        <v>53</v>
      </c>
      <c r="I30" s="108">
        <v>0</v>
      </c>
      <c r="J30" s="108">
        <v>313</v>
      </c>
      <c r="K30" s="108">
        <v>59</v>
      </c>
      <c r="L30" s="108">
        <v>3</v>
      </c>
      <c r="M30" s="108">
        <v>8</v>
      </c>
      <c r="N30" s="108">
        <v>0</v>
      </c>
      <c r="O30" s="108">
        <v>0</v>
      </c>
      <c r="P30" s="108">
        <v>0</v>
      </c>
      <c r="Q30" s="66">
        <f t="shared" si="2"/>
        <v>521</v>
      </c>
      <c r="R30" s="59">
        <f t="shared" si="3"/>
        <v>133</v>
      </c>
      <c r="S30" s="59">
        <f t="shared" si="0"/>
        <v>654</v>
      </c>
      <c r="T30" s="59">
        <f t="shared" si="4"/>
        <v>0</v>
      </c>
      <c r="U30" s="59">
        <f t="shared" si="5"/>
        <v>654</v>
      </c>
      <c r="V30" s="60">
        <f t="shared" si="6"/>
        <v>848.5</v>
      </c>
      <c r="W30" s="47" t="str">
        <f t="shared" si="1"/>
        <v>08:00-09:00</v>
      </c>
      <c r="X30" s="45">
        <f>B30+B64</f>
        <v>285</v>
      </c>
      <c r="Y30" s="45">
        <f>C30+C64</f>
        <v>76</v>
      </c>
      <c r="Z30" s="45">
        <f>D30+D64</f>
        <v>35</v>
      </c>
      <c r="AA30" s="45">
        <f>E30+E64</f>
        <v>38</v>
      </c>
      <c r="AB30" s="45">
        <f>F30+F64</f>
        <v>26</v>
      </c>
      <c r="AC30" s="45">
        <f>G30+G64</f>
        <v>57</v>
      </c>
      <c r="AD30" s="45">
        <f>H30+H64</f>
        <v>140</v>
      </c>
      <c r="AE30" s="45">
        <f>I30+I64</f>
        <v>0</v>
      </c>
      <c r="AF30" s="45">
        <f>J30+J64</f>
        <v>571</v>
      </c>
      <c r="AG30" s="45">
        <f>K30+K64</f>
        <v>90</v>
      </c>
      <c r="AH30" s="45">
        <f>L30+L64</f>
        <v>3</v>
      </c>
      <c r="AI30" s="45">
        <f>M30+M64</f>
        <v>10</v>
      </c>
      <c r="AJ30" s="45">
        <f>N30+N64</f>
        <v>0</v>
      </c>
      <c r="AK30" s="45">
        <f>O30+O64</f>
        <v>0</v>
      </c>
      <c r="AL30" s="45">
        <f>P30+P64</f>
        <v>0</v>
      </c>
      <c r="AM30" s="45">
        <f>Q30+Q64</f>
        <v>1022</v>
      </c>
      <c r="AN30" s="45">
        <f>R30+R64</f>
        <v>309</v>
      </c>
      <c r="AO30" s="45">
        <f>S30+S64</f>
        <v>1331</v>
      </c>
      <c r="AP30" s="45">
        <f>T30+T64</f>
        <v>0</v>
      </c>
      <c r="AQ30" s="45">
        <f>U30+U64</f>
        <v>1331</v>
      </c>
      <c r="AR30" s="45">
        <f>V30+V64</f>
        <v>1909</v>
      </c>
    </row>
    <row r="31" spans="1:44" x14ac:dyDescent="0.3">
      <c r="A31" s="62" t="str">
        <f>'Day-4'!A31</f>
        <v>09:00-10:00</v>
      </c>
      <c r="B31" s="108">
        <v>157</v>
      </c>
      <c r="C31" s="140">
        <v>24</v>
      </c>
      <c r="D31" s="108">
        <v>29</v>
      </c>
      <c r="E31" s="108">
        <v>37</v>
      </c>
      <c r="F31" s="108">
        <v>13</v>
      </c>
      <c r="G31" s="108">
        <v>24</v>
      </c>
      <c r="H31" s="108">
        <v>71</v>
      </c>
      <c r="I31" s="108">
        <v>0</v>
      </c>
      <c r="J31" s="108">
        <v>253</v>
      </c>
      <c r="K31" s="108">
        <v>69</v>
      </c>
      <c r="L31" s="108">
        <v>2</v>
      </c>
      <c r="M31" s="108">
        <v>2</v>
      </c>
      <c r="N31" s="108">
        <v>0</v>
      </c>
      <c r="O31" s="108">
        <v>0</v>
      </c>
      <c r="P31" s="108">
        <v>0</v>
      </c>
      <c r="Q31" s="66">
        <f t="shared" si="2"/>
        <v>503</v>
      </c>
      <c r="R31" s="59">
        <f t="shared" si="3"/>
        <v>178</v>
      </c>
      <c r="S31" s="59">
        <f t="shared" si="0"/>
        <v>681</v>
      </c>
      <c r="T31" s="59">
        <f t="shared" si="4"/>
        <v>0</v>
      </c>
      <c r="U31" s="59">
        <f t="shared" si="5"/>
        <v>681</v>
      </c>
      <c r="V31" s="60">
        <f t="shared" si="6"/>
        <v>951.5</v>
      </c>
      <c r="W31" s="47" t="str">
        <f t="shared" si="1"/>
        <v>09:00-10:00</v>
      </c>
      <c r="X31" s="45">
        <f>B31+B65</f>
        <v>381</v>
      </c>
      <c r="Y31" s="45">
        <f>C31+C65</f>
        <v>51</v>
      </c>
      <c r="Z31" s="45">
        <f>D31+D65</f>
        <v>52</v>
      </c>
      <c r="AA31" s="45">
        <f>E31+E65</f>
        <v>55</v>
      </c>
      <c r="AB31" s="45">
        <f>F31+F65</f>
        <v>28</v>
      </c>
      <c r="AC31" s="45">
        <f>G31+G65</f>
        <v>38</v>
      </c>
      <c r="AD31" s="45">
        <f>H31+H65</f>
        <v>170</v>
      </c>
      <c r="AE31" s="45">
        <f>I31+I65</f>
        <v>0</v>
      </c>
      <c r="AF31" s="45">
        <f>J31+J65</f>
        <v>496</v>
      </c>
      <c r="AG31" s="45">
        <f>K31+K65</f>
        <v>115</v>
      </c>
      <c r="AH31" s="45">
        <f>L31+L65</f>
        <v>2</v>
      </c>
      <c r="AI31" s="45">
        <f>M31+M65</f>
        <v>10</v>
      </c>
      <c r="AJ31" s="45">
        <f>N31+N65</f>
        <v>0</v>
      </c>
      <c r="AK31" s="45">
        <f>O31+O65</f>
        <v>0</v>
      </c>
      <c r="AL31" s="45">
        <f>P31+P65</f>
        <v>2</v>
      </c>
      <c r="AM31" s="45">
        <f>Q31+Q65</f>
        <v>1043</v>
      </c>
      <c r="AN31" s="45">
        <f>R31+R65</f>
        <v>357</v>
      </c>
      <c r="AO31" s="45">
        <f>S31+S65</f>
        <v>1400</v>
      </c>
      <c r="AP31" s="45">
        <f>T31+T65</f>
        <v>0</v>
      </c>
      <c r="AQ31" s="45">
        <f>U31+U65</f>
        <v>1400</v>
      </c>
      <c r="AR31" s="45">
        <f>V31+V65</f>
        <v>2051.5</v>
      </c>
    </row>
    <row r="32" spans="1:44" x14ac:dyDescent="0.3">
      <c r="A32" s="62" t="str">
        <f>'Day-4'!A32</f>
        <v>10:00-11:00</v>
      </c>
      <c r="B32" s="108">
        <v>194</v>
      </c>
      <c r="C32" s="140">
        <v>31</v>
      </c>
      <c r="D32" s="108">
        <v>21</v>
      </c>
      <c r="E32" s="108">
        <v>18</v>
      </c>
      <c r="F32" s="108">
        <v>23</v>
      </c>
      <c r="G32" s="108">
        <v>23</v>
      </c>
      <c r="H32" s="108">
        <v>79</v>
      </c>
      <c r="I32" s="108">
        <v>0</v>
      </c>
      <c r="J32" s="108">
        <v>249</v>
      </c>
      <c r="K32" s="108">
        <v>64</v>
      </c>
      <c r="L32" s="108">
        <v>0</v>
      </c>
      <c r="M32" s="108">
        <v>3</v>
      </c>
      <c r="N32" s="108">
        <v>0</v>
      </c>
      <c r="O32" s="108">
        <v>0</v>
      </c>
      <c r="P32" s="108">
        <v>0</v>
      </c>
      <c r="Q32" s="66">
        <f t="shared" si="2"/>
        <v>538</v>
      </c>
      <c r="R32" s="59">
        <f t="shared" si="3"/>
        <v>167</v>
      </c>
      <c r="S32" s="59">
        <f t="shared" si="0"/>
        <v>705</v>
      </c>
      <c r="T32" s="59">
        <f t="shared" si="4"/>
        <v>0</v>
      </c>
      <c r="U32" s="59">
        <f t="shared" si="5"/>
        <v>705</v>
      </c>
      <c r="V32" s="60">
        <f t="shared" si="6"/>
        <v>1030.5</v>
      </c>
      <c r="W32" s="47" t="str">
        <f t="shared" si="1"/>
        <v>10:00-11:00</v>
      </c>
      <c r="X32" s="45">
        <f>B32+B66</f>
        <v>397</v>
      </c>
      <c r="Y32" s="45">
        <f>C32+C66</f>
        <v>54</v>
      </c>
      <c r="Z32" s="45">
        <f>D32+D66</f>
        <v>46</v>
      </c>
      <c r="AA32" s="45">
        <f>E32+E66</f>
        <v>37</v>
      </c>
      <c r="AB32" s="45">
        <f>F32+F66</f>
        <v>48</v>
      </c>
      <c r="AC32" s="45">
        <f>G32+G66</f>
        <v>41</v>
      </c>
      <c r="AD32" s="45">
        <f>H32+H66</f>
        <v>171</v>
      </c>
      <c r="AE32" s="45">
        <f>I32+I66</f>
        <v>0</v>
      </c>
      <c r="AF32" s="45">
        <f>J32+J66</f>
        <v>456</v>
      </c>
      <c r="AG32" s="45">
        <f>K32+K66</f>
        <v>121</v>
      </c>
      <c r="AH32" s="45">
        <f>L32+L66</f>
        <v>0</v>
      </c>
      <c r="AI32" s="45">
        <f>M32+M66</f>
        <v>5</v>
      </c>
      <c r="AJ32" s="45">
        <f>N32+N66</f>
        <v>0</v>
      </c>
      <c r="AK32" s="45">
        <f>O32+O66</f>
        <v>0</v>
      </c>
      <c r="AL32" s="45">
        <f>P32+P66</f>
        <v>0</v>
      </c>
      <c r="AM32" s="45">
        <f>Q32+Q66</f>
        <v>1028</v>
      </c>
      <c r="AN32" s="45">
        <f>R32+R66</f>
        <v>348</v>
      </c>
      <c r="AO32" s="45">
        <f>S32+S66</f>
        <v>1376</v>
      </c>
      <c r="AP32" s="45">
        <f>T32+T66</f>
        <v>0</v>
      </c>
      <c r="AQ32" s="45">
        <f>U32+U66</f>
        <v>1376</v>
      </c>
      <c r="AR32" s="45">
        <f>V32+V66</f>
        <v>2068.5</v>
      </c>
    </row>
    <row r="33" spans="1:44" x14ac:dyDescent="0.3">
      <c r="A33" s="62" t="str">
        <f>'Day-4'!A33</f>
        <v>11:00-12:00</v>
      </c>
      <c r="B33" s="108">
        <v>158</v>
      </c>
      <c r="C33" s="140">
        <v>30</v>
      </c>
      <c r="D33" s="108">
        <v>16</v>
      </c>
      <c r="E33" s="108">
        <v>33</v>
      </c>
      <c r="F33" s="108">
        <v>14</v>
      </c>
      <c r="G33" s="108">
        <v>17</v>
      </c>
      <c r="H33" s="108">
        <v>60</v>
      </c>
      <c r="I33" s="108">
        <v>0</v>
      </c>
      <c r="J33" s="108">
        <v>239</v>
      </c>
      <c r="K33" s="108">
        <v>61</v>
      </c>
      <c r="L33" s="108">
        <v>0</v>
      </c>
      <c r="M33" s="108">
        <v>5</v>
      </c>
      <c r="N33" s="108">
        <v>0</v>
      </c>
      <c r="O33" s="108">
        <v>0</v>
      </c>
      <c r="P33" s="108">
        <v>0</v>
      </c>
      <c r="Q33" s="66">
        <f t="shared" si="2"/>
        <v>488</v>
      </c>
      <c r="R33" s="59">
        <f t="shared" si="3"/>
        <v>145</v>
      </c>
      <c r="S33" s="59">
        <f t="shared" si="0"/>
        <v>633</v>
      </c>
      <c r="T33" s="59">
        <f t="shared" si="4"/>
        <v>0</v>
      </c>
      <c r="U33" s="59">
        <f t="shared" si="5"/>
        <v>633</v>
      </c>
      <c r="V33" s="60">
        <f t="shared" si="6"/>
        <v>879.5</v>
      </c>
      <c r="W33" s="47" t="str">
        <f t="shared" si="1"/>
        <v>11:00-12:00</v>
      </c>
      <c r="X33" s="45">
        <f>B33+B67</f>
        <v>322</v>
      </c>
      <c r="Y33" s="45">
        <f>C33+C67</f>
        <v>46</v>
      </c>
      <c r="Z33" s="45">
        <f>D33+D67</f>
        <v>32</v>
      </c>
      <c r="AA33" s="45">
        <f>E33+E67</f>
        <v>42</v>
      </c>
      <c r="AB33" s="45">
        <f>F33+F67</f>
        <v>48</v>
      </c>
      <c r="AC33" s="45">
        <f>G33+G67</f>
        <v>42</v>
      </c>
      <c r="AD33" s="45">
        <f>H33+H67</f>
        <v>153</v>
      </c>
      <c r="AE33" s="45">
        <f>I33+I67</f>
        <v>0</v>
      </c>
      <c r="AF33" s="45">
        <f>J33+J67</f>
        <v>408</v>
      </c>
      <c r="AG33" s="45">
        <f>K33+K67</f>
        <v>109</v>
      </c>
      <c r="AH33" s="45">
        <f>L33+L67</f>
        <v>0</v>
      </c>
      <c r="AI33" s="45">
        <f>M33+M67</f>
        <v>11</v>
      </c>
      <c r="AJ33" s="45">
        <f>N33+N67</f>
        <v>4</v>
      </c>
      <c r="AK33" s="45">
        <f>O33+O67</f>
        <v>0</v>
      </c>
      <c r="AL33" s="45">
        <f>P33+P67</f>
        <v>0</v>
      </c>
      <c r="AM33" s="45">
        <f>Q33+Q67</f>
        <v>889</v>
      </c>
      <c r="AN33" s="45">
        <f>R33+R67</f>
        <v>328</v>
      </c>
      <c r="AO33" s="45">
        <f>S33+S67</f>
        <v>1217</v>
      </c>
      <c r="AP33" s="45">
        <f>T33+T67</f>
        <v>4</v>
      </c>
      <c r="AQ33" s="45">
        <f>U33+U67</f>
        <v>1217</v>
      </c>
      <c r="AR33" s="45">
        <f>V33+V67</f>
        <v>1878</v>
      </c>
    </row>
    <row r="34" spans="1:44" x14ac:dyDescent="0.3">
      <c r="A34" s="48" t="s">
        <v>23</v>
      </c>
      <c r="B34" s="146">
        <f>SUM(B10:B33)</f>
        <v>2417</v>
      </c>
      <c r="C34" s="94">
        <f t="shared" ref="C34:V34" si="7">SUM(C10:C33)</f>
        <v>465</v>
      </c>
      <c r="D34" s="146">
        <f t="shared" si="7"/>
        <v>428</v>
      </c>
      <c r="E34" s="110">
        <f t="shared" si="7"/>
        <v>589</v>
      </c>
      <c r="F34" s="146">
        <f t="shared" si="7"/>
        <v>399</v>
      </c>
      <c r="G34" s="146">
        <f t="shared" si="7"/>
        <v>440</v>
      </c>
      <c r="H34" s="146">
        <f t="shared" si="7"/>
        <v>1668</v>
      </c>
      <c r="I34" s="146">
        <f>SUM(I10:I33)</f>
        <v>0</v>
      </c>
      <c r="J34" s="146">
        <f>SUM(J10:J33)</f>
        <v>3496</v>
      </c>
      <c r="K34" s="146">
        <f t="shared" si="7"/>
        <v>681</v>
      </c>
      <c r="L34" s="146">
        <f t="shared" si="7"/>
        <v>5</v>
      </c>
      <c r="M34" s="146">
        <f t="shared" si="7"/>
        <v>56</v>
      </c>
      <c r="N34" s="146">
        <f t="shared" si="7"/>
        <v>0</v>
      </c>
      <c r="O34" s="146">
        <f t="shared" si="7"/>
        <v>0</v>
      </c>
      <c r="P34" s="146">
        <f t="shared" si="7"/>
        <v>5</v>
      </c>
      <c r="Q34" s="107">
        <f t="shared" si="7"/>
        <v>7059</v>
      </c>
      <c r="R34" s="30">
        <f t="shared" si="7"/>
        <v>3590</v>
      </c>
      <c r="S34" s="31">
        <f t="shared" si="7"/>
        <v>10649</v>
      </c>
      <c r="T34" s="30">
        <f t="shared" si="7"/>
        <v>0</v>
      </c>
      <c r="U34" s="31">
        <f t="shared" si="7"/>
        <v>10649</v>
      </c>
      <c r="V34" s="31">
        <f t="shared" si="7"/>
        <v>17857.5</v>
      </c>
      <c r="W34" s="48" t="s">
        <v>23</v>
      </c>
      <c r="X34" s="30">
        <f>SUM(X10:X33)</f>
        <v>4816</v>
      </c>
      <c r="Y34" s="30">
        <f t="shared" ref="Y34:AR34" si="8">SUM(Y10:Y33)</f>
        <v>930</v>
      </c>
      <c r="Z34" s="30">
        <f t="shared" si="8"/>
        <v>840</v>
      </c>
      <c r="AA34" s="30">
        <f t="shared" si="8"/>
        <v>1172</v>
      </c>
      <c r="AB34" s="30">
        <f t="shared" si="8"/>
        <v>887</v>
      </c>
      <c r="AC34" s="30">
        <f t="shared" si="8"/>
        <v>1043</v>
      </c>
      <c r="AD34" s="30">
        <f t="shared" si="8"/>
        <v>3335</v>
      </c>
      <c r="AE34" s="30">
        <f t="shared" si="8"/>
        <v>0</v>
      </c>
      <c r="AF34" s="30">
        <f t="shared" si="8"/>
        <v>6586</v>
      </c>
      <c r="AG34" s="30">
        <f t="shared" si="8"/>
        <v>1287</v>
      </c>
      <c r="AH34" s="30">
        <f t="shared" si="8"/>
        <v>5</v>
      </c>
      <c r="AI34" s="30">
        <f t="shared" si="8"/>
        <v>108</v>
      </c>
      <c r="AJ34" s="30">
        <f t="shared" si="8"/>
        <v>4</v>
      </c>
      <c r="AK34" s="30">
        <f t="shared" si="8"/>
        <v>2</v>
      </c>
      <c r="AL34" s="30">
        <f t="shared" si="8"/>
        <v>12</v>
      </c>
      <c r="AM34" s="30">
        <f t="shared" si="8"/>
        <v>13625</v>
      </c>
      <c r="AN34" s="30">
        <f t="shared" si="8"/>
        <v>7402</v>
      </c>
      <c r="AO34" s="30">
        <f t="shared" si="8"/>
        <v>21027</v>
      </c>
      <c r="AP34" s="30">
        <f t="shared" si="8"/>
        <v>6</v>
      </c>
      <c r="AQ34" s="30">
        <f t="shared" si="8"/>
        <v>21027</v>
      </c>
      <c r="AR34" s="31">
        <f t="shared" si="8"/>
        <v>36135</v>
      </c>
    </row>
    <row r="35" spans="1:44" x14ac:dyDescent="0.3">
      <c r="E35" s="109"/>
    </row>
    <row r="38" spans="1:44" x14ac:dyDescent="0.3">
      <c r="A38" s="150" t="s">
        <v>27</v>
      </c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</row>
    <row r="39" spans="1:44" x14ac:dyDescent="0.3">
      <c r="A39" s="143" t="str">
        <f>A5</f>
        <v>Location:</v>
      </c>
      <c r="B39" s="153" t="str">
        <f>B5</f>
        <v>Nathavalasa Toll Plaza</v>
      </c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5"/>
      <c r="Q39" s="143" t="str">
        <f>Q5</f>
        <v>Date:</v>
      </c>
      <c r="R39" s="156">
        <f>R5</f>
        <v>45236</v>
      </c>
      <c r="S39" s="157"/>
      <c r="T39" s="157"/>
      <c r="U39" s="157"/>
      <c r="V39" s="158"/>
    </row>
    <row r="40" spans="1:44" x14ac:dyDescent="0.3">
      <c r="A40" s="144" t="s">
        <v>205</v>
      </c>
      <c r="B40" s="153" t="str">
        <f>'Day-4'!B40:V40</f>
        <v>Anandapuram to Ranasthalam</v>
      </c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5"/>
    </row>
    <row r="41" spans="1:44" x14ac:dyDescent="0.3">
      <c r="A41" s="14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1" t="s">
        <v>2</v>
      </c>
      <c r="B42" s="171" t="s">
        <v>80</v>
      </c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0" t="s">
        <v>81</v>
      </c>
      <c r="O42" s="170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2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 t="shared" ref="A44:A67" si="9">A10</f>
        <v>12:00-13:00</v>
      </c>
      <c r="B44" s="108">
        <v>107</v>
      </c>
      <c r="C44" s="140">
        <v>24</v>
      </c>
      <c r="D44" s="108">
        <v>25</v>
      </c>
      <c r="E44" s="108">
        <v>35</v>
      </c>
      <c r="F44" s="108">
        <v>26</v>
      </c>
      <c r="G44" s="108">
        <v>19</v>
      </c>
      <c r="H44" s="108">
        <v>70</v>
      </c>
      <c r="I44" s="108">
        <v>0</v>
      </c>
      <c r="J44" s="108">
        <v>186</v>
      </c>
      <c r="K44" s="108">
        <v>46</v>
      </c>
      <c r="L44" s="108">
        <v>0</v>
      </c>
      <c r="M44" s="108">
        <v>2</v>
      </c>
      <c r="N44" s="108">
        <v>0</v>
      </c>
      <c r="O44" s="108">
        <v>0</v>
      </c>
      <c r="P44" s="108">
        <v>0</v>
      </c>
      <c r="Q44" s="63">
        <f>B44+C44+J44+K44+N44+O44</f>
        <v>363</v>
      </c>
      <c r="R44" s="45">
        <f>D44+E44+F44+G44+H44+I44+L44+M44+P44</f>
        <v>177</v>
      </c>
      <c r="S44" s="45">
        <f t="shared" ref="S44:S67" si="10">Q44+R44</f>
        <v>540</v>
      </c>
      <c r="T44" s="45">
        <f>N44+O44</f>
        <v>0</v>
      </c>
      <c r="U44" s="45">
        <f>SUM(B44:P44)</f>
        <v>540</v>
      </c>
      <c r="V44" s="46">
        <f>SUMPRODUCT(B44:P44,$B$7:$P$7)</f>
        <v>854.5</v>
      </c>
    </row>
    <row r="45" spans="1:44" x14ac:dyDescent="0.3">
      <c r="A45" s="62" t="str">
        <f t="shared" si="9"/>
        <v>13:00-14:00</v>
      </c>
      <c r="B45" s="108">
        <v>103</v>
      </c>
      <c r="C45" s="140">
        <v>35</v>
      </c>
      <c r="D45" s="108">
        <v>18</v>
      </c>
      <c r="E45" s="108">
        <v>28</v>
      </c>
      <c r="F45" s="108">
        <v>23</v>
      </c>
      <c r="G45" s="108">
        <v>25</v>
      </c>
      <c r="H45" s="108">
        <v>55</v>
      </c>
      <c r="I45" s="108">
        <v>0</v>
      </c>
      <c r="J45" s="108">
        <v>184</v>
      </c>
      <c r="K45" s="108">
        <v>29</v>
      </c>
      <c r="L45" s="108">
        <v>0</v>
      </c>
      <c r="M45" s="108">
        <v>4</v>
      </c>
      <c r="N45" s="108">
        <v>0</v>
      </c>
      <c r="O45" s="108">
        <v>2</v>
      </c>
      <c r="P45" s="108">
        <v>2</v>
      </c>
      <c r="Q45" s="63">
        <f t="shared" ref="Q45:Q67" si="11">B45+C45+J45+K45+N45+O45</f>
        <v>353</v>
      </c>
      <c r="R45" s="45">
        <f t="shared" ref="R45:R67" si="12">D45+E45+F45+G45+H45+I45+L45+M45+P45</f>
        <v>155</v>
      </c>
      <c r="S45" s="45">
        <f t="shared" si="10"/>
        <v>508</v>
      </c>
      <c r="T45" s="45">
        <f t="shared" ref="T45:T67" si="13">N45+O45</f>
        <v>2</v>
      </c>
      <c r="U45" s="45">
        <f t="shared" ref="U45:U67" si="14">SUM(B45:P45)</f>
        <v>508</v>
      </c>
      <c r="V45" s="46">
        <f t="shared" ref="V45:V67" si="15">SUMPRODUCT(B45:P45,$B$7:$P$7)</f>
        <v>811.5</v>
      </c>
    </row>
    <row r="46" spans="1:44" x14ac:dyDescent="0.3">
      <c r="A46" s="62" t="str">
        <f t="shared" si="9"/>
        <v>14:00-15:00</v>
      </c>
      <c r="B46" s="108">
        <v>102</v>
      </c>
      <c r="C46" s="140">
        <v>17</v>
      </c>
      <c r="D46" s="108">
        <v>14</v>
      </c>
      <c r="E46" s="108">
        <v>40</v>
      </c>
      <c r="F46" s="108">
        <v>24</v>
      </c>
      <c r="G46" s="108">
        <v>33</v>
      </c>
      <c r="H46" s="108">
        <v>45</v>
      </c>
      <c r="I46" s="108">
        <v>0</v>
      </c>
      <c r="J46" s="108">
        <v>119</v>
      </c>
      <c r="K46" s="108">
        <v>31</v>
      </c>
      <c r="L46" s="108">
        <v>0</v>
      </c>
      <c r="M46" s="108">
        <v>0</v>
      </c>
      <c r="N46" s="108">
        <v>0</v>
      </c>
      <c r="O46" s="108">
        <v>0</v>
      </c>
      <c r="P46" s="108">
        <v>0</v>
      </c>
      <c r="Q46" s="63">
        <f t="shared" si="11"/>
        <v>269</v>
      </c>
      <c r="R46" s="45">
        <f t="shared" si="12"/>
        <v>156</v>
      </c>
      <c r="S46" s="45">
        <f t="shared" si="10"/>
        <v>425</v>
      </c>
      <c r="T46" s="45">
        <f t="shared" si="13"/>
        <v>0</v>
      </c>
      <c r="U46" s="45">
        <f t="shared" si="14"/>
        <v>425</v>
      </c>
      <c r="V46" s="46">
        <f t="shared" si="15"/>
        <v>691</v>
      </c>
    </row>
    <row r="47" spans="1:44" x14ac:dyDescent="0.3">
      <c r="A47" s="62" t="str">
        <f t="shared" si="9"/>
        <v>15:00-16:00</v>
      </c>
      <c r="B47" s="108">
        <v>172</v>
      </c>
      <c r="C47" s="141">
        <v>21</v>
      </c>
      <c r="D47" s="108">
        <v>19</v>
      </c>
      <c r="E47" s="108">
        <v>26</v>
      </c>
      <c r="F47" s="108">
        <v>19</v>
      </c>
      <c r="G47" s="108">
        <v>26</v>
      </c>
      <c r="H47" s="108">
        <v>54</v>
      </c>
      <c r="I47" s="108">
        <v>0</v>
      </c>
      <c r="J47" s="108">
        <v>175</v>
      </c>
      <c r="K47" s="108">
        <v>31</v>
      </c>
      <c r="L47" s="108">
        <v>0</v>
      </c>
      <c r="M47" s="108">
        <v>2</v>
      </c>
      <c r="N47" s="108">
        <v>0</v>
      </c>
      <c r="O47" s="108">
        <v>0</v>
      </c>
      <c r="P47" s="108">
        <v>0</v>
      </c>
      <c r="Q47" s="63">
        <f t="shared" si="11"/>
        <v>399</v>
      </c>
      <c r="R47" s="45">
        <f t="shared" si="12"/>
        <v>146</v>
      </c>
      <c r="S47" s="45">
        <f t="shared" si="10"/>
        <v>545</v>
      </c>
      <c r="T47" s="45">
        <f t="shared" si="13"/>
        <v>0</v>
      </c>
      <c r="U47" s="45">
        <f t="shared" si="14"/>
        <v>545</v>
      </c>
      <c r="V47" s="46">
        <f t="shared" si="15"/>
        <v>798.5</v>
      </c>
    </row>
    <row r="48" spans="1:44" x14ac:dyDescent="0.3">
      <c r="A48" s="62" t="str">
        <f t="shared" si="9"/>
        <v>16:00-17:00</v>
      </c>
      <c r="B48" s="108">
        <v>160</v>
      </c>
      <c r="C48" s="141">
        <v>26</v>
      </c>
      <c r="D48" s="108">
        <v>15</v>
      </c>
      <c r="E48" s="108">
        <v>25</v>
      </c>
      <c r="F48" s="108">
        <v>21</v>
      </c>
      <c r="G48" s="108">
        <v>34</v>
      </c>
      <c r="H48" s="108">
        <v>64</v>
      </c>
      <c r="I48" s="108">
        <v>0</v>
      </c>
      <c r="J48" s="108">
        <v>213</v>
      </c>
      <c r="K48" s="108">
        <v>50</v>
      </c>
      <c r="L48" s="108">
        <v>0</v>
      </c>
      <c r="M48" s="108">
        <v>3</v>
      </c>
      <c r="N48" s="108">
        <v>0</v>
      </c>
      <c r="O48" s="108">
        <v>0</v>
      </c>
      <c r="P48" s="108">
        <v>0</v>
      </c>
      <c r="Q48" s="63">
        <f t="shared" si="11"/>
        <v>449</v>
      </c>
      <c r="R48" s="45">
        <f t="shared" si="12"/>
        <v>162</v>
      </c>
      <c r="S48" s="45">
        <f t="shared" si="10"/>
        <v>611</v>
      </c>
      <c r="T48" s="45">
        <f t="shared" si="13"/>
        <v>0</v>
      </c>
      <c r="U48" s="45">
        <f t="shared" si="14"/>
        <v>611</v>
      </c>
      <c r="V48" s="46">
        <f t="shared" si="15"/>
        <v>913.5</v>
      </c>
    </row>
    <row r="49" spans="1:22" x14ac:dyDescent="0.3">
      <c r="A49" s="62" t="str">
        <f t="shared" si="9"/>
        <v>17:00-18:00</v>
      </c>
      <c r="B49" s="108">
        <v>176</v>
      </c>
      <c r="C49" s="141">
        <v>30</v>
      </c>
      <c r="D49" s="108">
        <v>18</v>
      </c>
      <c r="E49" s="108">
        <v>24</v>
      </c>
      <c r="F49" s="108">
        <v>23</v>
      </c>
      <c r="G49" s="108">
        <v>16</v>
      </c>
      <c r="H49" s="108">
        <v>70</v>
      </c>
      <c r="I49" s="108">
        <v>0</v>
      </c>
      <c r="J49" s="108">
        <v>218</v>
      </c>
      <c r="K49" s="108">
        <v>60</v>
      </c>
      <c r="L49" s="108">
        <v>0</v>
      </c>
      <c r="M49" s="108">
        <v>6</v>
      </c>
      <c r="N49" s="108">
        <v>0</v>
      </c>
      <c r="O49" s="108">
        <v>0</v>
      </c>
      <c r="P49" s="108">
        <v>0</v>
      </c>
      <c r="Q49" s="63">
        <f t="shared" si="11"/>
        <v>484</v>
      </c>
      <c r="R49" s="45">
        <f t="shared" si="12"/>
        <v>157</v>
      </c>
      <c r="S49" s="45">
        <f t="shared" si="10"/>
        <v>641</v>
      </c>
      <c r="T49" s="45">
        <f t="shared" si="13"/>
        <v>0</v>
      </c>
      <c r="U49" s="45">
        <f t="shared" si="14"/>
        <v>641</v>
      </c>
      <c r="V49" s="46">
        <f t="shared" si="15"/>
        <v>948</v>
      </c>
    </row>
    <row r="50" spans="1:22" x14ac:dyDescent="0.3">
      <c r="A50" s="62" t="str">
        <f t="shared" si="9"/>
        <v>18:00-19:00</v>
      </c>
      <c r="B50" s="108">
        <v>144</v>
      </c>
      <c r="C50" s="140">
        <v>17</v>
      </c>
      <c r="D50" s="108">
        <v>23</v>
      </c>
      <c r="E50" s="108">
        <v>25</v>
      </c>
      <c r="F50" s="108">
        <v>23</v>
      </c>
      <c r="G50" s="108">
        <v>29</v>
      </c>
      <c r="H50" s="108">
        <v>71</v>
      </c>
      <c r="I50" s="108">
        <v>0</v>
      </c>
      <c r="J50" s="108">
        <v>230</v>
      </c>
      <c r="K50" s="108">
        <v>52</v>
      </c>
      <c r="L50" s="108">
        <v>0</v>
      </c>
      <c r="M50" s="108">
        <v>2</v>
      </c>
      <c r="N50" s="108">
        <v>0</v>
      </c>
      <c r="O50" s="108">
        <v>0</v>
      </c>
      <c r="P50" s="108">
        <v>0</v>
      </c>
      <c r="Q50" s="63">
        <f t="shared" si="11"/>
        <v>443</v>
      </c>
      <c r="R50" s="45">
        <f t="shared" si="12"/>
        <v>173</v>
      </c>
      <c r="S50" s="45">
        <f t="shared" si="10"/>
        <v>616</v>
      </c>
      <c r="T50" s="45">
        <f t="shared" si="13"/>
        <v>0</v>
      </c>
      <c r="U50" s="45">
        <f t="shared" si="14"/>
        <v>616</v>
      </c>
      <c r="V50" s="46">
        <f t="shared" si="15"/>
        <v>907</v>
      </c>
    </row>
    <row r="51" spans="1:22" x14ac:dyDescent="0.3">
      <c r="A51" s="62" t="str">
        <f t="shared" si="9"/>
        <v>19:00-20:00</v>
      </c>
      <c r="B51" s="108">
        <v>103</v>
      </c>
      <c r="C51" s="140">
        <v>16</v>
      </c>
      <c r="D51" s="108">
        <v>22</v>
      </c>
      <c r="E51" s="108">
        <v>25</v>
      </c>
      <c r="F51" s="108">
        <v>17</v>
      </c>
      <c r="G51" s="108">
        <v>24</v>
      </c>
      <c r="H51" s="108">
        <v>50</v>
      </c>
      <c r="I51" s="108">
        <v>0</v>
      </c>
      <c r="J51" s="108">
        <v>147</v>
      </c>
      <c r="K51" s="108">
        <v>12</v>
      </c>
      <c r="L51" s="108">
        <v>0</v>
      </c>
      <c r="M51" s="108">
        <v>2</v>
      </c>
      <c r="N51" s="108">
        <v>0</v>
      </c>
      <c r="O51" s="108">
        <v>0</v>
      </c>
      <c r="P51" s="108">
        <v>0</v>
      </c>
      <c r="Q51" s="63">
        <f t="shared" si="11"/>
        <v>278</v>
      </c>
      <c r="R51" s="45">
        <f t="shared" si="12"/>
        <v>140</v>
      </c>
      <c r="S51" s="45">
        <f t="shared" si="10"/>
        <v>418</v>
      </c>
      <c r="T51" s="45">
        <f t="shared" si="13"/>
        <v>0</v>
      </c>
      <c r="U51" s="45">
        <f t="shared" si="14"/>
        <v>418</v>
      </c>
      <c r="V51" s="46">
        <f t="shared" si="15"/>
        <v>653</v>
      </c>
    </row>
    <row r="52" spans="1:22" x14ac:dyDescent="0.3">
      <c r="A52" s="62" t="str">
        <f t="shared" si="9"/>
        <v>20:00-21:00</v>
      </c>
      <c r="B52" s="108">
        <v>114</v>
      </c>
      <c r="C52" s="140">
        <v>15</v>
      </c>
      <c r="D52" s="108">
        <v>25</v>
      </c>
      <c r="E52" s="108">
        <v>24</v>
      </c>
      <c r="F52" s="108">
        <v>19</v>
      </c>
      <c r="G52" s="108">
        <v>24</v>
      </c>
      <c r="H52" s="108">
        <v>56</v>
      </c>
      <c r="I52" s="108">
        <v>0</v>
      </c>
      <c r="J52" s="108">
        <v>164</v>
      </c>
      <c r="K52" s="108">
        <v>8</v>
      </c>
      <c r="L52" s="108">
        <v>0</v>
      </c>
      <c r="M52" s="108">
        <v>0</v>
      </c>
      <c r="N52" s="108">
        <v>0</v>
      </c>
      <c r="O52" s="108">
        <v>0</v>
      </c>
      <c r="P52" s="108">
        <v>0</v>
      </c>
      <c r="Q52" s="63">
        <f t="shared" si="11"/>
        <v>301</v>
      </c>
      <c r="R52" s="45">
        <f t="shared" si="12"/>
        <v>148</v>
      </c>
      <c r="S52" s="45">
        <f t="shared" si="10"/>
        <v>449</v>
      </c>
      <c r="T52" s="45">
        <f t="shared" si="13"/>
        <v>0</v>
      </c>
      <c r="U52" s="45">
        <f t="shared" si="14"/>
        <v>449</v>
      </c>
      <c r="V52" s="46">
        <f t="shared" si="15"/>
        <v>691</v>
      </c>
    </row>
    <row r="53" spans="1:22" x14ac:dyDescent="0.3">
      <c r="A53" s="62" t="str">
        <f t="shared" si="9"/>
        <v>21:00-22:00</v>
      </c>
      <c r="B53" s="108">
        <v>83</v>
      </c>
      <c r="C53" s="142">
        <v>16</v>
      </c>
      <c r="D53" s="108">
        <v>16</v>
      </c>
      <c r="E53" s="108">
        <v>27</v>
      </c>
      <c r="F53" s="108">
        <v>11</v>
      </c>
      <c r="G53" s="108">
        <v>15</v>
      </c>
      <c r="H53" s="108">
        <v>52</v>
      </c>
      <c r="I53" s="108">
        <v>0</v>
      </c>
      <c r="J53" s="108">
        <v>74</v>
      </c>
      <c r="K53" s="108">
        <v>5</v>
      </c>
      <c r="L53" s="108">
        <v>0</v>
      </c>
      <c r="M53" s="108">
        <v>0</v>
      </c>
      <c r="N53" s="108">
        <v>0</v>
      </c>
      <c r="O53" s="108">
        <v>0</v>
      </c>
      <c r="P53" s="108">
        <v>0</v>
      </c>
      <c r="Q53" s="66">
        <f t="shared" si="11"/>
        <v>178</v>
      </c>
      <c r="R53" s="59">
        <f t="shared" si="12"/>
        <v>121</v>
      </c>
      <c r="S53" s="59">
        <f t="shared" si="10"/>
        <v>299</v>
      </c>
      <c r="T53" s="59">
        <f t="shared" si="13"/>
        <v>0</v>
      </c>
      <c r="U53" s="59">
        <f t="shared" si="14"/>
        <v>299</v>
      </c>
      <c r="V53" s="60">
        <f t="shared" si="15"/>
        <v>541.5</v>
      </c>
    </row>
    <row r="54" spans="1:22" x14ac:dyDescent="0.3">
      <c r="A54" s="62" t="str">
        <f t="shared" si="9"/>
        <v>22:00-23:00</v>
      </c>
      <c r="B54" s="108">
        <v>66</v>
      </c>
      <c r="C54" s="140">
        <v>7</v>
      </c>
      <c r="D54" s="108">
        <v>23</v>
      </c>
      <c r="E54" s="108">
        <v>29</v>
      </c>
      <c r="F54" s="108">
        <v>23</v>
      </c>
      <c r="G54" s="108">
        <v>25</v>
      </c>
      <c r="H54" s="108">
        <v>64</v>
      </c>
      <c r="I54" s="108">
        <v>0</v>
      </c>
      <c r="J54" s="108">
        <v>43</v>
      </c>
      <c r="K54" s="108">
        <v>2</v>
      </c>
      <c r="L54" s="108">
        <v>0</v>
      </c>
      <c r="M54" s="108">
        <v>0</v>
      </c>
      <c r="N54" s="108">
        <v>0</v>
      </c>
      <c r="O54" s="108">
        <v>0</v>
      </c>
      <c r="P54" s="108">
        <v>0</v>
      </c>
      <c r="Q54" s="66">
        <f t="shared" si="11"/>
        <v>118</v>
      </c>
      <c r="R54" s="59">
        <f t="shared" si="12"/>
        <v>164</v>
      </c>
      <c r="S54" s="59">
        <f t="shared" si="10"/>
        <v>282</v>
      </c>
      <c r="T54" s="59">
        <f t="shared" si="13"/>
        <v>0</v>
      </c>
      <c r="U54" s="59">
        <f t="shared" si="14"/>
        <v>282</v>
      </c>
      <c r="V54" s="60">
        <f t="shared" si="15"/>
        <v>609</v>
      </c>
    </row>
    <row r="55" spans="1:22" x14ac:dyDescent="0.3">
      <c r="A55" s="62" t="str">
        <f t="shared" si="9"/>
        <v>23:00-00:00</v>
      </c>
      <c r="B55" s="108">
        <v>56</v>
      </c>
      <c r="C55" s="140">
        <v>7</v>
      </c>
      <c r="D55" s="108">
        <v>7</v>
      </c>
      <c r="E55" s="108">
        <v>23</v>
      </c>
      <c r="F55" s="108">
        <v>11</v>
      </c>
      <c r="G55" s="108">
        <v>15</v>
      </c>
      <c r="H55" s="108">
        <v>79</v>
      </c>
      <c r="I55" s="108">
        <v>0</v>
      </c>
      <c r="J55" s="108">
        <v>36</v>
      </c>
      <c r="K55" s="108">
        <v>0</v>
      </c>
      <c r="L55" s="108">
        <v>0</v>
      </c>
      <c r="M55" s="108">
        <v>2</v>
      </c>
      <c r="N55" s="108">
        <v>0</v>
      </c>
      <c r="O55" s="108">
        <v>0</v>
      </c>
      <c r="P55" s="108">
        <v>0</v>
      </c>
      <c r="Q55" s="66">
        <f t="shared" si="11"/>
        <v>99</v>
      </c>
      <c r="R55" s="59">
        <f t="shared" si="12"/>
        <v>137</v>
      </c>
      <c r="S55" s="59">
        <f t="shared" si="10"/>
        <v>236</v>
      </c>
      <c r="T55" s="59">
        <f t="shared" si="13"/>
        <v>0</v>
      </c>
      <c r="U55" s="59">
        <f t="shared" si="14"/>
        <v>236</v>
      </c>
      <c r="V55" s="60">
        <f t="shared" si="15"/>
        <v>579</v>
      </c>
    </row>
    <row r="56" spans="1:22" x14ac:dyDescent="0.3">
      <c r="A56" s="62" t="str">
        <f t="shared" si="9"/>
        <v>00:00-01:00</v>
      </c>
      <c r="B56" s="108">
        <v>27</v>
      </c>
      <c r="C56" s="140">
        <v>7</v>
      </c>
      <c r="D56" s="108">
        <v>21</v>
      </c>
      <c r="E56" s="108">
        <v>23</v>
      </c>
      <c r="F56" s="108">
        <v>23</v>
      </c>
      <c r="G56" s="108">
        <v>27</v>
      </c>
      <c r="H56" s="108">
        <v>97</v>
      </c>
      <c r="I56" s="108">
        <v>0</v>
      </c>
      <c r="J56" s="108">
        <v>14</v>
      </c>
      <c r="K56" s="108">
        <v>0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6">
        <f t="shared" si="11"/>
        <v>48</v>
      </c>
      <c r="R56" s="59">
        <f t="shared" si="12"/>
        <v>191</v>
      </c>
      <c r="S56" s="59">
        <f t="shared" si="10"/>
        <v>239</v>
      </c>
      <c r="T56" s="59">
        <f t="shared" si="13"/>
        <v>0</v>
      </c>
      <c r="U56" s="59">
        <f t="shared" si="14"/>
        <v>239</v>
      </c>
      <c r="V56" s="60">
        <f t="shared" si="15"/>
        <v>697</v>
      </c>
    </row>
    <row r="57" spans="1:22" x14ac:dyDescent="0.3">
      <c r="A57" s="62" t="str">
        <f t="shared" si="9"/>
        <v>01:00-02:00</v>
      </c>
      <c r="B57" s="108">
        <v>12</v>
      </c>
      <c r="C57" s="140">
        <v>4</v>
      </c>
      <c r="D57" s="108">
        <v>9</v>
      </c>
      <c r="E57" s="108">
        <v>15</v>
      </c>
      <c r="F57" s="108">
        <v>17</v>
      </c>
      <c r="G57" s="108">
        <v>16</v>
      </c>
      <c r="H57" s="108">
        <v>66</v>
      </c>
      <c r="I57" s="108">
        <v>0</v>
      </c>
      <c r="J57" s="108">
        <v>11</v>
      </c>
      <c r="K57" s="108">
        <v>2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6">
        <f t="shared" si="11"/>
        <v>29</v>
      </c>
      <c r="R57" s="59">
        <f t="shared" si="12"/>
        <v>123</v>
      </c>
      <c r="S57" s="59">
        <f t="shared" si="10"/>
        <v>152</v>
      </c>
      <c r="T57" s="59">
        <f t="shared" si="13"/>
        <v>0</v>
      </c>
      <c r="U57" s="59">
        <f t="shared" si="14"/>
        <v>152</v>
      </c>
      <c r="V57" s="60">
        <f t="shared" si="15"/>
        <v>459</v>
      </c>
    </row>
    <row r="58" spans="1:22" x14ac:dyDescent="0.3">
      <c r="A58" s="62" t="str">
        <f t="shared" si="9"/>
        <v>02:00-03:00</v>
      </c>
      <c r="B58" s="108">
        <v>18</v>
      </c>
      <c r="C58" s="140">
        <v>6</v>
      </c>
      <c r="D58" s="108">
        <v>7</v>
      </c>
      <c r="E58" s="108">
        <v>27</v>
      </c>
      <c r="F58" s="108">
        <v>12</v>
      </c>
      <c r="G58" s="108">
        <v>31</v>
      </c>
      <c r="H58" s="108">
        <v>52</v>
      </c>
      <c r="I58" s="108">
        <v>0</v>
      </c>
      <c r="J58" s="108">
        <v>5</v>
      </c>
      <c r="K58" s="108">
        <v>2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6">
        <f t="shared" si="11"/>
        <v>31</v>
      </c>
      <c r="R58" s="59">
        <f t="shared" si="12"/>
        <v>129</v>
      </c>
      <c r="S58" s="59">
        <f t="shared" si="10"/>
        <v>160</v>
      </c>
      <c r="T58" s="59">
        <f t="shared" si="13"/>
        <v>0</v>
      </c>
      <c r="U58" s="59">
        <f t="shared" si="14"/>
        <v>160</v>
      </c>
      <c r="V58" s="60">
        <f t="shared" si="15"/>
        <v>451</v>
      </c>
    </row>
    <row r="59" spans="1:22" x14ac:dyDescent="0.3">
      <c r="A59" s="62" t="str">
        <f t="shared" si="9"/>
        <v>03:00-04:00</v>
      </c>
      <c r="B59" s="108">
        <v>11</v>
      </c>
      <c r="C59" s="140">
        <v>5</v>
      </c>
      <c r="D59" s="108">
        <v>9</v>
      </c>
      <c r="E59" s="108">
        <v>23</v>
      </c>
      <c r="F59" s="108">
        <v>21</v>
      </c>
      <c r="G59" s="108">
        <v>30</v>
      </c>
      <c r="H59" s="108">
        <v>49</v>
      </c>
      <c r="I59" s="108">
        <v>0</v>
      </c>
      <c r="J59" s="108">
        <v>13</v>
      </c>
      <c r="K59" s="108">
        <v>3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6">
        <f t="shared" si="11"/>
        <v>32</v>
      </c>
      <c r="R59" s="59">
        <f t="shared" si="12"/>
        <v>132</v>
      </c>
      <c r="S59" s="59">
        <f t="shared" si="10"/>
        <v>164</v>
      </c>
      <c r="T59" s="59">
        <f t="shared" si="13"/>
        <v>0</v>
      </c>
      <c r="U59" s="59">
        <f t="shared" si="14"/>
        <v>164</v>
      </c>
      <c r="V59" s="60">
        <f t="shared" si="15"/>
        <v>452.5</v>
      </c>
    </row>
    <row r="60" spans="1:22" x14ac:dyDescent="0.3">
      <c r="A60" s="62" t="str">
        <f t="shared" si="9"/>
        <v>04:00-05:00</v>
      </c>
      <c r="B60" s="108">
        <v>16</v>
      </c>
      <c r="C60" s="140">
        <v>12</v>
      </c>
      <c r="D60" s="108">
        <v>7</v>
      </c>
      <c r="E60" s="108">
        <v>15</v>
      </c>
      <c r="F60" s="108">
        <v>17</v>
      </c>
      <c r="G60" s="108">
        <v>26</v>
      </c>
      <c r="H60" s="108">
        <v>69</v>
      </c>
      <c r="I60" s="108">
        <v>0</v>
      </c>
      <c r="J60" s="108">
        <v>29</v>
      </c>
      <c r="K60" s="108">
        <v>3</v>
      </c>
      <c r="L60" s="108">
        <v>0</v>
      </c>
      <c r="M60" s="108">
        <v>2</v>
      </c>
      <c r="N60" s="108">
        <v>0</v>
      </c>
      <c r="O60" s="108">
        <v>0</v>
      </c>
      <c r="P60" s="108">
        <v>0</v>
      </c>
      <c r="Q60" s="66">
        <f t="shared" si="11"/>
        <v>60</v>
      </c>
      <c r="R60" s="59">
        <f t="shared" si="12"/>
        <v>136</v>
      </c>
      <c r="S60" s="59">
        <f t="shared" si="10"/>
        <v>196</v>
      </c>
      <c r="T60" s="59">
        <f t="shared" si="13"/>
        <v>0</v>
      </c>
      <c r="U60" s="59">
        <f t="shared" si="14"/>
        <v>196</v>
      </c>
      <c r="V60" s="60">
        <f t="shared" si="15"/>
        <v>547.5</v>
      </c>
    </row>
    <row r="61" spans="1:22" x14ac:dyDescent="0.3">
      <c r="A61" s="62" t="str">
        <f t="shared" si="9"/>
        <v>05:00-06:00</v>
      </c>
      <c r="B61" s="108">
        <v>28</v>
      </c>
      <c r="C61" s="140">
        <v>18</v>
      </c>
      <c r="D61" s="108">
        <v>11</v>
      </c>
      <c r="E61" s="108">
        <v>24</v>
      </c>
      <c r="F61" s="108">
        <v>25</v>
      </c>
      <c r="G61" s="108">
        <v>32</v>
      </c>
      <c r="H61" s="108">
        <v>49</v>
      </c>
      <c r="I61" s="108">
        <v>0</v>
      </c>
      <c r="J61" s="108">
        <v>99</v>
      </c>
      <c r="K61" s="108">
        <v>28</v>
      </c>
      <c r="L61" s="108">
        <v>0</v>
      </c>
      <c r="M61" s="108">
        <v>3</v>
      </c>
      <c r="N61" s="108">
        <v>0</v>
      </c>
      <c r="O61" s="108">
        <v>0</v>
      </c>
      <c r="P61" s="108">
        <v>3</v>
      </c>
      <c r="Q61" s="66">
        <f t="shared" si="11"/>
        <v>173</v>
      </c>
      <c r="R61" s="59">
        <f t="shared" si="12"/>
        <v>147</v>
      </c>
      <c r="S61" s="59">
        <f t="shared" si="10"/>
        <v>320</v>
      </c>
      <c r="T61" s="59">
        <f t="shared" si="13"/>
        <v>0</v>
      </c>
      <c r="U61" s="59">
        <f t="shared" si="14"/>
        <v>320</v>
      </c>
      <c r="V61" s="60">
        <f t="shared" si="15"/>
        <v>625</v>
      </c>
    </row>
    <row r="62" spans="1:22" x14ac:dyDescent="0.3">
      <c r="A62" s="62" t="str">
        <f t="shared" si="9"/>
        <v>06:00-07:00</v>
      </c>
      <c r="B62" s="108">
        <v>55</v>
      </c>
      <c r="C62" s="140">
        <v>36</v>
      </c>
      <c r="D62" s="108">
        <v>25</v>
      </c>
      <c r="E62" s="108">
        <v>34</v>
      </c>
      <c r="F62" s="108">
        <v>18</v>
      </c>
      <c r="G62" s="108">
        <v>37</v>
      </c>
      <c r="H62" s="108">
        <v>99</v>
      </c>
      <c r="I62" s="108">
        <v>0</v>
      </c>
      <c r="J62" s="108">
        <v>97</v>
      </c>
      <c r="K62" s="108">
        <v>28</v>
      </c>
      <c r="L62" s="108">
        <v>0</v>
      </c>
      <c r="M62" s="108">
        <v>3</v>
      </c>
      <c r="N62" s="108">
        <v>0</v>
      </c>
      <c r="O62" s="108">
        <v>0</v>
      </c>
      <c r="P62" s="108">
        <v>0</v>
      </c>
      <c r="Q62" s="66">
        <f t="shared" si="11"/>
        <v>216</v>
      </c>
      <c r="R62" s="59">
        <f t="shared" si="12"/>
        <v>216</v>
      </c>
      <c r="S62" s="59">
        <f t="shared" si="10"/>
        <v>432</v>
      </c>
      <c r="T62" s="59">
        <f t="shared" si="13"/>
        <v>0</v>
      </c>
      <c r="U62" s="59">
        <f t="shared" si="14"/>
        <v>432</v>
      </c>
      <c r="V62" s="60">
        <f t="shared" si="15"/>
        <v>939.5</v>
      </c>
    </row>
    <row r="63" spans="1:22" x14ac:dyDescent="0.3">
      <c r="A63" s="62" t="str">
        <f t="shared" si="9"/>
        <v>07:00-08:00</v>
      </c>
      <c r="B63" s="108">
        <v>91</v>
      </c>
      <c r="C63" s="140">
        <v>32</v>
      </c>
      <c r="D63" s="108">
        <v>16</v>
      </c>
      <c r="E63" s="108">
        <v>23</v>
      </c>
      <c r="F63" s="108">
        <v>26</v>
      </c>
      <c r="G63" s="108">
        <v>30</v>
      </c>
      <c r="H63" s="108">
        <v>85</v>
      </c>
      <c r="I63" s="108">
        <v>0</v>
      </c>
      <c r="J63" s="108">
        <v>156</v>
      </c>
      <c r="K63" s="108">
        <v>32</v>
      </c>
      <c r="L63" s="108">
        <v>0</v>
      </c>
      <c r="M63" s="108">
        <v>3</v>
      </c>
      <c r="N63" s="108">
        <v>0</v>
      </c>
      <c r="O63" s="108">
        <v>0</v>
      </c>
      <c r="P63" s="108">
        <v>0</v>
      </c>
      <c r="Q63" s="66">
        <f t="shared" si="11"/>
        <v>311</v>
      </c>
      <c r="R63" s="59">
        <f t="shared" si="12"/>
        <v>183</v>
      </c>
      <c r="S63" s="59">
        <f t="shared" si="10"/>
        <v>494</v>
      </c>
      <c r="T63" s="59">
        <f t="shared" si="13"/>
        <v>0</v>
      </c>
      <c r="U63" s="59">
        <f t="shared" si="14"/>
        <v>494</v>
      </c>
      <c r="V63" s="60">
        <f t="shared" si="15"/>
        <v>911.5</v>
      </c>
    </row>
    <row r="64" spans="1:22" x14ac:dyDescent="0.3">
      <c r="A64" s="62" t="str">
        <f t="shared" si="9"/>
        <v>08:00-09:00</v>
      </c>
      <c r="B64" s="108">
        <v>164</v>
      </c>
      <c r="C64" s="140">
        <v>48</v>
      </c>
      <c r="D64" s="108">
        <v>18</v>
      </c>
      <c r="E64" s="108">
        <v>22</v>
      </c>
      <c r="F64" s="108">
        <v>15</v>
      </c>
      <c r="G64" s="108">
        <v>32</v>
      </c>
      <c r="H64" s="108">
        <v>87</v>
      </c>
      <c r="I64" s="108">
        <v>0</v>
      </c>
      <c r="J64" s="108">
        <v>258</v>
      </c>
      <c r="K64" s="108">
        <v>31</v>
      </c>
      <c r="L64" s="108">
        <v>0</v>
      </c>
      <c r="M64" s="108">
        <v>2</v>
      </c>
      <c r="N64" s="108">
        <v>0</v>
      </c>
      <c r="O64" s="108">
        <v>0</v>
      </c>
      <c r="P64" s="108">
        <v>0</v>
      </c>
      <c r="Q64" s="66">
        <f t="shared" si="11"/>
        <v>501</v>
      </c>
      <c r="R64" s="59">
        <f t="shared" si="12"/>
        <v>176</v>
      </c>
      <c r="S64" s="59">
        <f t="shared" si="10"/>
        <v>677</v>
      </c>
      <c r="T64" s="59">
        <f t="shared" si="13"/>
        <v>0</v>
      </c>
      <c r="U64" s="59">
        <f t="shared" si="14"/>
        <v>677</v>
      </c>
      <c r="V64" s="60">
        <f t="shared" si="15"/>
        <v>1060.5</v>
      </c>
    </row>
    <row r="65" spans="1:22" x14ac:dyDescent="0.3">
      <c r="A65" s="62" t="str">
        <f t="shared" si="9"/>
        <v>09:00-10:00</v>
      </c>
      <c r="B65" s="108">
        <v>224</v>
      </c>
      <c r="C65" s="140">
        <v>27</v>
      </c>
      <c r="D65" s="108">
        <v>23</v>
      </c>
      <c r="E65" s="108">
        <v>18</v>
      </c>
      <c r="F65" s="108">
        <v>15</v>
      </c>
      <c r="G65" s="108">
        <v>14</v>
      </c>
      <c r="H65" s="108">
        <v>99</v>
      </c>
      <c r="I65" s="108">
        <v>0</v>
      </c>
      <c r="J65" s="108">
        <v>243</v>
      </c>
      <c r="K65" s="108">
        <v>46</v>
      </c>
      <c r="L65" s="108">
        <v>0</v>
      </c>
      <c r="M65" s="108">
        <v>8</v>
      </c>
      <c r="N65" s="108">
        <v>0</v>
      </c>
      <c r="O65" s="108">
        <v>0</v>
      </c>
      <c r="P65" s="108">
        <v>2</v>
      </c>
      <c r="Q65" s="66">
        <f t="shared" si="11"/>
        <v>540</v>
      </c>
      <c r="R65" s="59">
        <f t="shared" si="12"/>
        <v>179</v>
      </c>
      <c r="S65" s="59">
        <f t="shared" si="10"/>
        <v>719</v>
      </c>
      <c r="T65" s="59">
        <f t="shared" si="13"/>
        <v>0</v>
      </c>
      <c r="U65" s="59">
        <f t="shared" si="14"/>
        <v>719</v>
      </c>
      <c r="V65" s="60">
        <f t="shared" si="15"/>
        <v>1100</v>
      </c>
    </row>
    <row r="66" spans="1:22" x14ac:dyDescent="0.3">
      <c r="A66" s="62" t="str">
        <f t="shared" si="9"/>
        <v>10:00-11:00</v>
      </c>
      <c r="B66" s="108">
        <v>203</v>
      </c>
      <c r="C66" s="140">
        <v>23</v>
      </c>
      <c r="D66" s="108">
        <v>25</v>
      </c>
      <c r="E66" s="108">
        <v>19</v>
      </c>
      <c r="F66" s="108">
        <v>25</v>
      </c>
      <c r="G66" s="108">
        <v>18</v>
      </c>
      <c r="H66" s="108">
        <v>92</v>
      </c>
      <c r="I66" s="108">
        <v>0</v>
      </c>
      <c r="J66" s="108">
        <v>207</v>
      </c>
      <c r="K66" s="108">
        <v>57</v>
      </c>
      <c r="L66" s="108">
        <v>0</v>
      </c>
      <c r="M66" s="108">
        <v>2</v>
      </c>
      <c r="N66" s="108">
        <v>0</v>
      </c>
      <c r="O66" s="108">
        <v>0</v>
      </c>
      <c r="P66" s="108">
        <v>0</v>
      </c>
      <c r="Q66" s="66">
        <f t="shared" si="11"/>
        <v>490</v>
      </c>
      <c r="R66" s="59">
        <f t="shared" si="12"/>
        <v>181</v>
      </c>
      <c r="S66" s="59">
        <f t="shared" si="10"/>
        <v>671</v>
      </c>
      <c r="T66" s="59">
        <f t="shared" si="13"/>
        <v>0</v>
      </c>
      <c r="U66" s="59">
        <f t="shared" si="14"/>
        <v>671</v>
      </c>
      <c r="V66" s="60">
        <f t="shared" si="15"/>
        <v>1038</v>
      </c>
    </row>
    <row r="67" spans="1:22" x14ac:dyDescent="0.3">
      <c r="A67" s="62" t="str">
        <f t="shared" si="9"/>
        <v>11:00-12:00</v>
      </c>
      <c r="B67" s="108">
        <v>164</v>
      </c>
      <c r="C67" s="140">
        <v>16</v>
      </c>
      <c r="D67" s="108">
        <v>16</v>
      </c>
      <c r="E67" s="108">
        <v>9</v>
      </c>
      <c r="F67" s="108">
        <v>34</v>
      </c>
      <c r="G67" s="108">
        <v>25</v>
      </c>
      <c r="H67" s="108">
        <v>93</v>
      </c>
      <c r="I67" s="108">
        <v>0</v>
      </c>
      <c r="J67" s="108">
        <v>169</v>
      </c>
      <c r="K67" s="108">
        <v>48</v>
      </c>
      <c r="L67" s="108">
        <v>0</v>
      </c>
      <c r="M67" s="108">
        <v>6</v>
      </c>
      <c r="N67" s="108">
        <v>4</v>
      </c>
      <c r="O67" s="108">
        <v>0</v>
      </c>
      <c r="P67" s="108">
        <v>0</v>
      </c>
      <c r="Q67" s="66">
        <f t="shared" si="11"/>
        <v>401</v>
      </c>
      <c r="R67" s="59">
        <f t="shared" si="12"/>
        <v>183</v>
      </c>
      <c r="S67" s="59">
        <f t="shared" si="10"/>
        <v>584</v>
      </c>
      <c r="T67" s="59">
        <f t="shared" si="13"/>
        <v>4</v>
      </c>
      <c r="U67" s="59">
        <f t="shared" si="14"/>
        <v>584</v>
      </c>
      <c r="V67" s="60">
        <f t="shared" si="15"/>
        <v>998.5</v>
      </c>
    </row>
    <row r="68" spans="1:22" x14ac:dyDescent="0.3">
      <c r="A68" s="48" t="s">
        <v>23</v>
      </c>
      <c r="B68" s="146">
        <f>SUM(B44:B67)</f>
        <v>2399</v>
      </c>
      <c r="C68" s="94">
        <f t="shared" ref="C68" si="16">SUM(C44:C67)</f>
        <v>465</v>
      </c>
      <c r="D68" s="146">
        <f t="shared" ref="D68:U68" si="17">SUM(D44:D67)</f>
        <v>412</v>
      </c>
      <c r="E68" s="110">
        <f>SUM(E44:E67)</f>
        <v>583</v>
      </c>
      <c r="F68" s="146">
        <f t="shared" si="17"/>
        <v>488</v>
      </c>
      <c r="G68" s="146">
        <f t="shared" si="17"/>
        <v>603</v>
      </c>
      <c r="H68" s="146">
        <f t="shared" si="17"/>
        <v>1667</v>
      </c>
      <c r="I68" s="146">
        <f t="shared" si="17"/>
        <v>0</v>
      </c>
      <c r="J68" s="146">
        <f t="shared" si="17"/>
        <v>3090</v>
      </c>
      <c r="K68" s="146">
        <f t="shared" si="17"/>
        <v>606</v>
      </c>
      <c r="L68" s="146">
        <f t="shared" si="17"/>
        <v>0</v>
      </c>
      <c r="M68" s="146">
        <f>SUM(M44:M67)</f>
        <v>52</v>
      </c>
      <c r="N68" s="146">
        <f t="shared" si="17"/>
        <v>4</v>
      </c>
      <c r="O68" s="146">
        <f t="shared" si="17"/>
        <v>2</v>
      </c>
      <c r="P68" s="146">
        <f t="shared" si="17"/>
        <v>7</v>
      </c>
      <c r="Q68" s="107">
        <f t="shared" si="17"/>
        <v>6566</v>
      </c>
      <c r="R68" s="30">
        <f t="shared" si="17"/>
        <v>3812</v>
      </c>
      <c r="S68" s="31">
        <f t="shared" si="17"/>
        <v>10378</v>
      </c>
      <c r="T68" s="30">
        <f t="shared" si="17"/>
        <v>6</v>
      </c>
      <c r="U68" s="31">
        <f t="shared" si="17"/>
        <v>10378</v>
      </c>
      <c r="V68" s="31">
        <f>SUM(V44:V67)</f>
        <v>18277.5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  <mergeCell ref="A38:V38"/>
    <mergeCell ref="A42:A43"/>
    <mergeCell ref="N42:O42"/>
    <mergeCell ref="B42:M42"/>
    <mergeCell ref="B39:P39"/>
    <mergeCell ref="R39:V39"/>
    <mergeCell ref="B40:V40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3:AR98"/>
  <sheetViews>
    <sheetView zoomScaleNormal="100" workbookViewId="0">
      <selection activeCell="A34" sqref="A34:M36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7" width="4" style="1" bestFit="1" customWidth="1"/>
    <col min="28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0" t="s">
        <v>28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9" t="s">
        <v>28</v>
      </c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1"/>
    </row>
    <row r="5" spans="1:44" x14ac:dyDescent="0.3">
      <c r="A5" s="143" t="s">
        <v>208</v>
      </c>
      <c r="B5" s="153" t="str">
        <f>'Day-5'!B5:P5</f>
        <v>Nathavalasa Toll Plaza</v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5"/>
      <c r="Q5" s="143" t="s">
        <v>202</v>
      </c>
      <c r="R5" s="156">
        <v>45237</v>
      </c>
      <c r="S5" s="157"/>
      <c r="T5" s="157"/>
      <c r="U5" s="157"/>
      <c r="V5" s="158"/>
      <c r="W5" s="143" t="str">
        <f>A5</f>
        <v>Location:</v>
      </c>
      <c r="X5" s="153" t="str">
        <f>B5</f>
        <v>Nathavalasa Toll Plaza</v>
      </c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5"/>
      <c r="AJ5" s="143" t="str">
        <f>Q5</f>
        <v>Date:</v>
      </c>
      <c r="AK5" s="156">
        <f>R5</f>
        <v>45237</v>
      </c>
      <c r="AL5" s="168"/>
      <c r="AM5" s="168"/>
      <c r="AN5" s="168"/>
      <c r="AO5" s="168"/>
      <c r="AP5" s="168"/>
      <c r="AQ5" s="168"/>
      <c r="AR5" s="169"/>
    </row>
    <row r="6" spans="1:44" x14ac:dyDescent="0.3">
      <c r="A6" s="144" t="s">
        <v>205</v>
      </c>
      <c r="B6" s="153" t="str">
        <f>'Day-5'!B6:V6</f>
        <v>Ranasthalam to Anandapuram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5"/>
      <c r="W6" s="153" t="s">
        <v>1</v>
      </c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5"/>
    </row>
    <row r="7" spans="1:44" x14ac:dyDescent="0.3">
      <c r="A7" s="14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1" t="s">
        <v>2</v>
      </c>
      <c r="B8" s="171" t="s">
        <v>80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0" t="s">
        <v>81</v>
      </c>
      <c r="O8" s="170"/>
      <c r="P8" s="103"/>
      <c r="Q8" s="104"/>
      <c r="R8" s="104"/>
      <c r="S8" s="104"/>
      <c r="T8" s="104"/>
      <c r="U8" s="104"/>
      <c r="V8" s="105"/>
      <c r="W8" s="162" t="s">
        <v>2</v>
      </c>
      <c r="X8" s="163" t="s">
        <v>80</v>
      </c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5"/>
      <c r="AJ8" s="166" t="s">
        <v>81</v>
      </c>
      <c r="AK8" s="167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2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1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49" t="s">
        <v>76</v>
      </c>
      <c r="AM9" s="149" t="s">
        <v>17</v>
      </c>
      <c r="AN9" s="149" t="s">
        <v>18</v>
      </c>
      <c r="AO9" s="149" t="s">
        <v>19</v>
      </c>
      <c r="AP9" s="149" t="s">
        <v>20</v>
      </c>
      <c r="AQ9" s="149" t="s">
        <v>21</v>
      </c>
      <c r="AR9" s="149" t="s">
        <v>22</v>
      </c>
    </row>
    <row r="10" spans="1:44" x14ac:dyDescent="0.3">
      <c r="A10" s="62" t="str">
        <f>'Day-5'!A10</f>
        <v>12:00-13:00</v>
      </c>
      <c r="B10" s="108">
        <v>130</v>
      </c>
      <c r="C10" s="140">
        <v>22</v>
      </c>
      <c r="D10" s="108">
        <v>18</v>
      </c>
      <c r="E10" s="108">
        <v>34</v>
      </c>
      <c r="F10" s="108">
        <v>16</v>
      </c>
      <c r="G10" s="108">
        <v>16</v>
      </c>
      <c r="H10" s="108">
        <v>66</v>
      </c>
      <c r="I10" s="108">
        <v>0</v>
      </c>
      <c r="J10" s="108">
        <v>158</v>
      </c>
      <c r="K10" s="108">
        <v>52</v>
      </c>
      <c r="L10" s="108">
        <v>0</v>
      </c>
      <c r="M10" s="108">
        <v>4</v>
      </c>
      <c r="N10" s="108">
        <v>0</v>
      </c>
      <c r="O10" s="108">
        <v>0</v>
      </c>
      <c r="P10" s="108">
        <v>0</v>
      </c>
      <c r="Q10" s="63">
        <f>B10+C10+J10+K10+N10+O10</f>
        <v>362</v>
      </c>
      <c r="R10" s="45">
        <f>D10+E10+F10+G10+H10+I10+L10+M10+P10</f>
        <v>154</v>
      </c>
      <c r="S10" s="45">
        <f t="shared" ref="S10:S33" si="0">Q10+R10</f>
        <v>516</v>
      </c>
      <c r="T10" s="45">
        <f>N10+O10</f>
        <v>0</v>
      </c>
      <c r="U10" s="45">
        <f>SUM(B10:P10)</f>
        <v>516</v>
      </c>
      <c r="V10" s="46">
        <f>SUMPRODUCT(B10:P10,$B$7:$P$7)</f>
        <v>807</v>
      </c>
      <c r="W10" s="47" t="str">
        <f t="shared" ref="W10:W33" si="1">A10</f>
        <v>12:00-13:00</v>
      </c>
      <c r="X10" s="45">
        <f>B10+B44</f>
        <v>243</v>
      </c>
      <c r="Y10" s="45">
        <f>C10+C44</f>
        <v>45</v>
      </c>
      <c r="Z10" s="45">
        <f>D10+D44</f>
        <v>34</v>
      </c>
      <c r="AA10" s="45">
        <f>E10+E44</f>
        <v>53</v>
      </c>
      <c r="AB10" s="45">
        <f>F10+F44</f>
        <v>41</v>
      </c>
      <c r="AC10" s="45">
        <f>G10+G44</f>
        <v>30</v>
      </c>
      <c r="AD10" s="45">
        <f>H10+H44</f>
        <v>118</v>
      </c>
      <c r="AE10" s="45">
        <f>I10+I44</f>
        <v>0</v>
      </c>
      <c r="AF10" s="45">
        <f>J10+J44</f>
        <v>344</v>
      </c>
      <c r="AG10" s="45">
        <f>K10+K44</f>
        <v>92</v>
      </c>
      <c r="AH10" s="45">
        <f>L10+L44</f>
        <v>0</v>
      </c>
      <c r="AI10" s="45">
        <f>M10+M44</f>
        <v>6</v>
      </c>
      <c r="AJ10" s="45">
        <f>N10+N44</f>
        <v>0</v>
      </c>
      <c r="AK10" s="45">
        <f>O10+O44</f>
        <v>0</v>
      </c>
      <c r="AL10" s="45">
        <f>P10+P44</f>
        <v>0</v>
      </c>
      <c r="AM10" s="45">
        <f>Q10+Q44</f>
        <v>724</v>
      </c>
      <c r="AN10" s="45">
        <f>R10+R44</f>
        <v>282</v>
      </c>
      <c r="AO10" s="45">
        <f>S10+S44</f>
        <v>1006</v>
      </c>
      <c r="AP10" s="45">
        <f>T10+T44</f>
        <v>0</v>
      </c>
      <c r="AQ10" s="45">
        <f>U10+U44</f>
        <v>1006</v>
      </c>
      <c r="AR10" s="53">
        <f>V10+V44</f>
        <v>1526.5</v>
      </c>
    </row>
    <row r="11" spans="1:44" x14ac:dyDescent="0.3">
      <c r="A11" s="62" t="str">
        <f>'Day-5'!A11</f>
        <v>13:00-14:00</v>
      </c>
      <c r="B11" s="108">
        <v>128</v>
      </c>
      <c r="C11" s="140">
        <v>18</v>
      </c>
      <c r="D11" s="108">
        <v>12</v>
      </c>
      <c r="E11" s="108">
        <v>28</v>
      </c>
      <c r="F11" s="108">
        <v>14</v>
      </c>
      <c r="G11" s="108">
        <v>19</v>
      </c>
      <c r="H11" s="108">
        <v>73</v>
      </c>
      <c r="I11" s="108">
        <v>0</v>
      </c>
      <c r="J11" s="108">
        <v>124</v>
      </c>
      <c r="K11" s="108">
        <v>38</v>
      </c>
      <c r="L11" s="108">
        <v>0</v>
      </c>
      <c r="M11" s="108">
        <v>7</v>
      </c>
      <c r="N11" s="108">
        <v>0</v>
      </c>
      <c r="O11" s="108">
        <v>0</v>
      </c>
      <c r="P11" s="108">
        <v>0</v>
      </c>
      <c r="Q11" s="63">
        <f t="shared" ref="Q11:Q33" si="2">B11+C11+J11+K11+N11+O11</f>
        <v>308</v>
      </c>
      <c r="R11" s="45">
        <f t="shared" ref="R11:R33" si="3">D11+E11+F11+G11+H11+I11+L11+M11+P11</f>
        <v>153</v>
      </c>
      <c r="S11" s="45">
        <f t="shared" si="0"/>
        <v>461</v>
      </c>
      <c r="T11" s="45">
        <f t="shared" ref="T11:T33" si="4">N11+O11</f>
        <v>0</v>
      </c>
      <c r="U11" s="45">
        <f t="shared" ref="U11:U33" si="5">SUM(B11:P11)</f>
        <v>461</v>
      </c>
      <c r="V11" s="46">
        <f t="shared" ref="V11:V33" si="6">SUMPRODUCT(B11:P11,$B$7:$P$7)</f>
        <v>795</v>
      </c>
      <c r="W11" s="47" t="str">
        <f t="shared" si="1"/>
        <v>13:00-14:00</v>
      </c>
      <c r="X11" s="45">
        <f>B11+B45</f>
        <v>225</v>
      </c>
      <c r="Y11" s="45">
        <f>C11+C45</f>
        <v>47</v>
      </c>
      <c r="Z11" s="45">
        <f>D11+D45</f>
        <v>43</v>
      </c>
      <c r="AA11" s="45">
        <f>E11+E45</f>
        <v>40</v>
      </c>
      <c r="AB11" s="45">
        <f>F11+F45</f>
        <v>41</v>
      </c>
      <c r="AC11" s="45">
        <f>G11+G45</f>
        <v>43</v>
      </c>
      <c r="AD11" s="45">
        <f>H11+H45</f>
        <v>129</v>
      </c>
      <c r="AE11" s="45">
        <f>I11+I45</f>
        <v>0</v>
      </c>
      <c r="AF11" s="45">
        <f>J11+J45</f>
        <v>319</v>
      </c>
      <c r="AG11" s="45">
        <f>K11+K45</f>
        <v>65</v>
      </c>
      <c r="AH11" s="45">
        <f>L11+L45</f>
        <v>0</v>
      </c>
      <c r="AI11" s="45">
        <f>M11+M45</f>
        <v>12</v>
      </c>
      <c r="AJ11" s="45">
        <f>N11+N45</f>
        <v>3</v>
      </c>
      <c r="AK11" s="45">
        <f>O11+O45</f>
        <v>0</v>
      </c>
      <c r="AL11" s="45">
        <f>P11+P45</f>
        <v>0</v>
      </c>
      <c r="AM11" s="45">
        <f>Q11+Q45</f>
        <v>659</v>
      </c>
      <c r="AN11" s="45">
        <f>R11+R45</f>
        <v>308</v>
      </c>
      <c r="AO11" s="45">
        <f>S11+S45</f>
        <v>967</v>
      </c>
      <c r="AP11" s="45">
        <f>T11+T45</f>
        <v>3</v>
      </c>
      <c r="AQ11" s="45">
        <f>U11+U45</f>
        <v>967</v>
      </c>
      <c r="AR11" s="45">
        <f>V11+V45</f>
        <v>1581.5</v>
      </c>
    </row>
    <row r="12" spans="1:44" x14ac:dyDescent="0.3">
      <c r="A12" s="62" t="str">
        <f>'Day-5'!A12</f>
        <v>14:00-15:00</v>
      </c>
      <c r="B12" s="108">
        <v>157</v>
      </c>
      <c r="C12" s="140">
        <v>27</v>
      </c>
      <c r="D12" s="108">
        <v>24</v>
      </c>
      <c r="E12" s="108">
        <v>28</v>
      </c>
      <c r="F12" s="108">
        <v>12</v>
      </c>
      <c r="G12" s="108">
        <v>21</v>
      </c>
      <c r="H12" s="108">
        <v>82</v>
      </c>
      <c r="I12" s="108">
        <v>0</v>
      </c>
      <c r="J12" s="108">
        <v>169</v>
      </c>
      <c r="K12" s="108">
        <v>34</v>
      </c>
      <c r="L12" s="108">
        <v>2</v>
      </c>
      <c r="M12" s="108">
        <v>4</v>
      </c>
      <c r="N12" s="108">
        <v>0</v>
      </c>
      <c r="O12" s="108">
        <v>0</v>
      </c>
      <c r="P12" s="108">
        <v>0</v>
      </c>
      <c r="Q12" s="63">
        <f t="shared" si="2"/>
        <v>387</v>
      </c>
      <c r="R12" s="45">
        <f t="shared" si="3"/>
        <v>173</v>
      </c>
      <c r="S12" s="45">
        <f t="shared" si="0"/>
        <v>560</v>
      </c>
      <c r="T12" s="45">
        <f t="shared" si="4"/>
        <v>0</v>
      </c>
      <c r="U12" s="45">
        <f t="shared" si="5"/>
        <v>560</v>
      </c>
      <c r="V12" s="46">
        <f t="shared" si="6"/>
        <v>911.5</v>
      </c>
      <c r="W12" s="47" t="str">
        <f t="shared" si="1"/>
        <v>14:00-15:00</v>
      </c>
      <c r="X12" s="45">
        <f>B12+B46</f>
        <v>280</v>
      </c>
      <c r="Y12" s="45">
        <f>C12+C46</f>
        <v>48</v>
      </c>
      <c r="Z12" s="45">
        <f>D12+D46</f>
        <v>48</v>
      </c>
      <c r="AA12" s="45">
        <f>E12+E46</f>
        <v>41</v>
      </c>
      <c r="AB12" s="45">
        <f>F12+F46</f>
        <v>46</v>
      </c>
      <c r="AC12" s="45">
        <f>G12+G46</f>
        <v>48</v>
      </c>
      <c r="AD12" s="45">
        <f>H12+H46</f>
        <v>147</v>
      </c>
      <c r="AE12" s="45">
        <f>I12+I46</f>
        <v>0</v>
      </c>
      <c r="AF12" s="45">
        <f>J12+J46</f>
        <v>331</v>
      </c>
      <c r="AG12" s="45">
        <f>K12+K46</f>
        <v>65</v>
      </c>
      <c r="AH12" s="45">
        <f>L12+L46</f>
        <v>2</v>
      </c>
      <c r="AI12" s="45">
        <f>M12+M46</f>
        <v>8</v>
      </c>
      <c r="AJ12" s="45">
        <f>N12+N46</f>
        <v>0</v>
      </c>
      <c r="AK12" s="45">
        <f>O12+O46</f>
        <v>0</v>
      </c>
      <c r="AL12" s="45">
        <f>P12+P46</f>
        <v>0</v>
      </c>
      <c r="AM12" s="45">
        <f>Q12+Q46</f>
        <v>724</v>
      </c>
      <c r="AN12" s="45">
        <f>R12+R46</f>
        <v>340</v>
      </c>
      <c r="AO12" s="45">
        <f>S12+S46</f>
        <v>1064</v>
      </c>
      <c r="AP12" s="45">
        <f>T12+T46</f>
        <v>0</v>
      </c>
      <c r="AQ12" s="45">
        <f>U12+U46</f>
        <v>1064</v>
      </c>
      <c r="AR12" s="45">
        <f>V12+V46</f>
        <v>1746.5</v>
      </c>
    </row>
    <row r="13" spans="1:44" x14ac:dyDescent="0.3">
      <c r="A13" s="62" t="str">
        <f>'Day-5'!A13</f>
        <v>15:00-16:00</v>
      </c>
      <c r="B13" s="108">
        <v>182</v>
      </c>
      <c r="C13" s="141">
        <v>24</v>
      </c>
      <c r="D13" s="108">
        <v>17</v>
      </c>
      <c r="E13" s="108">
        <v>25</v>
      </c>
      <c r="F13" s="108">
        <v>14</v>
      </c>
      <c r="G13" s="108">
        <v>26</v>
      </c>
      <c r="H13" s="108">
        <v>82</v>
      </c>
      <c r="I13" s="108">
        <v>0</v>
      </c>
      <c r="J13" s="108">
        <v>168</v>
      </c>
      <c r="K13" s="108">
        <v>35</v>
      </c>
      <c r="L13" s="108">
        <v>0</v>
      </c>
      <c r="M13" s="108">
        <v>7</v>
      </c>
      <c r="N13" s="108">
        <v>0</v>
      </c>
      <c r="O13" s="108">
        <v>0</v>
      </c>
      <c r="P13" s="108">
        <v>0</v>
      </c>
      <c r="Q13" s="63">
        <f t="shared" si="2"/>
        <v>409</v>
      </c>
      <c r="R13" s="45">
        <f t="shared" si="3"/>
        <v>171</v>
      </c>
      <c r="S13" s="45">
        <f t="shared" si="0"/>
        <v>580</v>
      </c>
      <c r="T13" s="45">
        <f t="shared" si="4"/>
        <v>0</v>
      </c>
      <c r="U13" s="45">
        <f t="shared" si="5"/>
        <v>580</v>
      </c>
      <c r="V13" s="46">
        <f t="shared" si="6"/>
        <v>948</v>
      </c>
      <c r="W13" s="47" t="str">
        <f t="shared" si="1"/>
        <v>15:00-16:00</v>
      </c>
      <c r="X13" s="45">
        <f>B13+B47</f>
        <v>327</v>
      </c>
      <c r="Y13" s="45">
        <f>C13+C47</f>
        <v>52</v>
      </c>
      <c r="Z13" s="45">
        <f>D13+D47</f>
        <v>48</v>
      </c>
      <c r="AA13" s="45">
        <f>E13+E47</f>
        <v>39</v>
      </c>
      <c r="AB13" s="45">
        <f>F13+F47</f>
        <v>45</v>
      </c>
      <c r="AC13" s="45">
        <f>G13+G47</f>
        <v>39</v>
      </c>
      <c r="AD13" s="45">
        <f>H13+H47</f>
        <v>166</v>
      </c>
      <c r="AE13" s="45">
        <f>I13+I47</f>
        <v>0</v>
      </c>
      <c r="AF13" s="45">
        <f>J13+J47</f>
        <v>351</v>
      </c>
      <c r="AG13" s="45">
        <f>K13+K47</f>
        <v>66</v>
      </c>
      <c r="AH13" s="45">
        <f>L13+L47</f>
        <v>0</v>
      </c>
      <c r="AI13" s="45">
        <f>M13+M47</f>
        <v>11</v>
      </c>
      <c r="AJ13" s="45">
        <f>N13+N47</f>
        <v>0</v>
      </c>
      <c r="AK13" s="45">
        <f>O13+O47</f>
        <v>0</v>
      </c>
      <c r="AL13" s="45">
        <f>P13+P47</f>
        <v>0</v>
      </c>
      <c r="AM13" s="45">
        <f>Q13+Q47</f>
        <v>796</v>
      </c>
      <c r="AN13" s="45">
        <f>R13+R47</f>
        <v>348</v>
      </c>
      <c r="AO13" s="45">
        <f>S13+S47</f>
        <v>1144</v>
      </c>
      <c r="AP13" s="45">
        <f>T13+T47</f>
        <v>0</v>
      </c>
      <c r="AQ13" s="45">
        <f>U13+U47</f>
        <v>1144</v>
      </c>
      <c r="AR13" s="45">
        <f>V13+V47</f>
        <v>1879.5</v>
      </c>
    </row>
    <row r="14" spans="1:44" x14ac:dyDescent="0.3">
      <c r="A14" s="62" t="str">
        <f>'Day-5'!A14</f>
        <v>16:00-17:00</v>
      </c>
      <c r="B14" s="108">
        <v>199</v>
      </c>
      <c r="C14" s="141">
        <v>17</v>
      </c>
      <c r="D14" s="108">
        <v>28</v>
      </c>
      <c r="E14" s="108">
        <v>16</v>
      </c>
      <c r="F14" s="108">
        <v>16</v>
      </c>
      <c r="G14" s="108">
        <v>15</v>
      </c>
      <c r="H14" s="108">
        <v>84</v>
      </c>
      <c r="I14" s="108">
        <v>0</v>
      </c>
      <c r="J14" s="108">
        <v>213</v>
      </c>
      <c r="K14" s="108">
        <v>48</v>
      </c>
      <c r="L14" s="108">
        <v>0</v>
      </c>
      <c r="M14" s="108">
        <v>6</v>
      </c>
      <c r="N14" s="108">
        <v>0</v>
      </c>
      <c r="O14" s="108">
        <v>0</v>
      </c>
      <c r="P14" s="108">
        <v>0</v>
      </c>
      <c r="Q14" s="63">
        <f t="shared" si="2"/>
        <v>477</v>
      </c>
      <c r="R14" s="45">
        <f t="shared" si="3"/>
        <v>165</v>
      </c>
      <c r="S14" s="45">
        <f t="shared" si="0"/>
        <v>642</v>
      </c>
      <c r="T14" s="45">
        <f t="shared" si="4"/>
        <v>0</v>
      </c>
      <c r="U14" s="45">
        <f t="shared" si="5"/>
        <v>642</v>
      </c>
      <c r="V14" s="46">
        <f t="shared" si="6"/>
        <v>954.5</v>
      </c>
      <c r="W14" s="47" t="str">
        <f t="shared" si="1"/>
        <v>16:00-17:00</v>
      </c>
      <c r="X14" s="45">
        <f>B14+B48</f>
        <v>378</v>
      </c>
      <c r="Y14" s="45">
        <f>C14+C48</f>
        <v>45</v>
      </c>
      <c r="Z14" s="45">
        <f>D14+D48</f>
        <v>49</v>
      </c>
      <c r="AA14" s="45">
        <f>E14+E48</f>
        <v>45</v>
      </c>
      <c r="AB14" s="45">
        <f>F14+F48</f>
        <v>47</v>
      </c>
      <c r="AC14" s="45">
        <f>G14+G48</f>
        <v>40</v>
      </c>
      <c r="AD14" s="45">
        <f>H14+H48</f>
        <v>175</v>
      </c>
      <c r="AE14" s="45">
        <f>I14+I48</f>
        <v>0</v>
      </c>
      <c r="AF14" s="45">
        <f>J14+J48</f>
        <v>377</v>
      </c>
      <c r="AG14" s="45">
        <f>K14+K48</f>
        <v>91</v>
      </c>
      <c r="AH14" s="45">
        <f>L14+L48</f>
        <v>0</v>
      </c>
      <c r="AI14" s="45">
        <f>M14+M48</f>
        <v>9</v>
      </c>
      <c r="AJ14" s="45">
        <f>N14+N48</f>
        <v>0</v>
      </c>
      <c r="AK14" s="45">
        <f>O14+O48</f>
        <v>0</v>
      </c>
      <c r="AL14" s="45">
        <f>P14+P48</f>
        <v>0</v>
      </c>
      <c r="AM14" s="45">
        <f>Q14+Q48</f>
        <v>891</v>
      </c>
      <c r="AN14" s="45">
        <f>R14+R48</f>
        <v>365</v>
      </c>
      <c r="AO14" s="45">
        <f>S14+S48</f>
        <v>1256</v>
      </c>
      <c r="AP14" s="45">
        <f>T14+T48</f>
        <v>0</v>
      </c>
      <c r="AQ14" s="45">
        <f>U14+U48</f>
        <v>1256</v>
      </c>
      <c r="AR14" s="45">
        <f>V14+V48</f>
        <v>1998</v>
      </c>
    </row>
    <row r="15" spans="1:44" x14ac:dyDescent="0.3">
      <c r="A15" s="62" t="str">
        <f>'Day-5'!A15</f>
        <v>17:00-18:00</v>
      </c>
      <c r="B15" s="108">
        <v>167</v>
      </c>
      <c r="C15" s="141">
        <v>33</v>
      </c>
      <c r="D15" s="108">
        <v>12</v>
      </c>
      <c r="E15" s="108">
        <v>30</v>
      </c>
      <c r="F15" s="108">
        <v>19</v>
      </c>
      <c r="G15" s="108">
        <v>25</v>
      </c>
      <c r="H15" s="108">
        <v>81</v>
      </c>
      <c r="I15" s="108">
        <v>0</v>
      </c>
      <c r="J15" s="108">
        <v>242</v>
      </c>
      <c r="K15" s="108">
        <v>37</v>
      </c>
      <c r="L15" s="108">
        <v>0</v>
      </c>
      <c r="M15" s="108">
        <v>3</v>
      </c>
      <c r="N15" s="108">
        <v>0</v>
      </c>
      <c r="O15" s="108">
        <v>0</v>
      </c>
      <c r="P15" s="108">
        <v>0</v>
      </c>
      <c r="Q15" s="63">
        <f t="shared" si="2"/>
        <v>479</v>
      </c>
      <c r="R15" s="45">
        <f t="shared" si="3"/>
        <v>170</v>
      </c>
      <c r="S15" s="45">
        <f t="shared" si="0"/>
        <v>649</v>
      </c>
      <c r="T15" s="45">
        <f t="shared" si="4"/>
        <v>0</v>
      </c>
      <c r="U15" s="45">
        <f t="shared" si="5"/>
        <v>649</v>
      </c>
      <c r="V15" s="46">
        <f t="shared" si="6"/>
        <v>991</v>
      </c>
      <c r="W15" s="47" t="str">
        <f t="shared" si="1"/>
        <v>17:00-18:00</v>
      </c>
      <c r="X15" s="45">
        <f>B15+B49</f>
        <v>383</v>
      </c>
      <c r="Y15" s="45">
        <f>C15+C49</f>
        <v>65</v>
      </c>
      <c r="Z15" s="45">
        <f>D15+D49</f>
        <v>33</v>
      </c>
      <c r="AA15" s="45">
        <f>E15+E49</f>
        <v>41</v>
      </c>
      <c r="AB15" s="45">
        <f>F15+F49</f>
        <v>32</v>
      </c>
      <c r="AC15" s="45">
        <f>G15+G49</f>
        <v>50</v>
      </c>
      <c r="AD15" s="45">
        <f>H15+H49</f>
        <v>151</v>
      </c>
      <c r="AE15" s="45">
        <f>I15+I49</f>
        <v>0</v>
      </c>
      <c r="AF15" s="45">
        <f>J15+J49</f>
        <v>457</v>
      </c>
      <c r="AG15" s="45">
        <f>K15+K49</f>
        <v>79</v>
      </c>
      <c r="AH15" s="45">
        <f>L15+L49</f>
        <v>0</v>
      </c>
      <c r="AI15" s="45">
        <f>M15+M49</f>
        <v>9</v>
      </c>
      <c r="AJ15" s="45">
        <f>N15+N49</f>
        <v>0</v>
      </c>
      <c r="AK15" s="45">
        <f>O15+O49</f>
        <v>0</v>
      </c>
      <c r="AL15" s="45">
        <f>P15+P49</f>
        <v>0</v>
      </c>
      <c r="AM15" s="45">
        <f>Q15+Q49</f>
        <v>984</v>
      </c>
      <c r="AN15" s="45">
        <f>R15+R49</f>
        <v>316</v>
      </c>
      <c r="AO15" s="45">
        <f>S15+S49</f>
        <v>1300</v>
      </c>
      <c r="AP15" s="45">
        <f>T15+T49</f>
        <v>0</v>
      </c>
      <c r="AQ15" s="45">
        <f>U15+U49</f>
        <v>1300</v>
      </c>
      <c r="AR15" s="45">
        <f>V15+V49</f>
        <v>1946</v>
      </c>
    </row>
    <row r="16" spans="1:44" x14ac:dyDescent="0.3">
      <c r="A16" s="62" t="str">
        <f>'Day-5'!A16</f>
        <v>18:00-19:00</v>
      </c>
      <c r="B16" s="108">
        <v>225</v>
      </c>
      <c r="C16" s="140">
        <v>34</v>
      </c>
      <c r="D16" s="108">
        <v>29</v>
      </c>
      <c r="E16" s="108">
        <v>23</v>
      </c>
      <c r="F16" s="108">
        <v>21</v>
      </c>
      <c r="G16" s="108">
        <v>25</v>
      </c>
      <c r="H16" s="108">
        <v>68</v>
      </c>
      <c r="I16" s="108">
        <v>0</v>
      </c>
      <c r="J16" s="108">
        <v>214</v>
      </c>
      <c r="K16" s="108">
        <v>42</v>
      </c>
      <c r="L16" s="108">
        <v>0</v>
      </c>
      <c r="M16" s="108">
        <v>4</v>
      </c>
      <c r="N16" s="108">
        <v>0</v>
      </c>
      <c r="O16" s="108">
        <v>0</v>
      </c>
      <c r="P16" s="108">
        <v>0</v>
      </c>
      <c r="Q16" s="63">
        <f t="shared" si="2"/>
        <v>515</v>
      </c>
      <c r="R16" s="45">
        <f t="shared" si="3"/>
        <v>170</v>
      </c>
      <c r="S16" s="45">
        <f t="shared" si="0"/>
        <v>685</v>
      </c>
      <c r="T16" s="45">
        <f t="shared" si="4"/>
        <v>0</v>
      </c>
      <c r="U16" s="45">
        <f t="shared" si="5"/>
        <v>685</v>
      </c>
      <c r="V16" s="46">
        <f t="shared" si="6"/>
        <v>1001.5</v>
      </c>
      <c r="W16" s="47" t="str">
        <f t="shared" si="1"/>
        <v>18:00-19:00</v>
      </c>
      <c r="X16" s="45">
        <f>B16+B50</f>
        <v>395</v>
      </c>
      <c r="Y16" s="45">
        <f>C16+C50</f>
        <v>53</v>
      </c>
      <c r="Z16" s="45">
        <f>D16+D50</f>
        <v>43</v>
      </c>
      <c r="AA16" s="45">
        <f>E16+E50</f>
        <v>50</v>
      </c>
      <c r="AB16" s="45">
        <f>F16+F50</f>
        <v>54</v>
      </c>
      <c r="AC16" s="45">
        <f>G16+G50</f>
        <v>55</v>
      </c>
      <c r="AD16" s="45">
        <f>H16+H50</f>
        <v>123</v>
      </c>
      <c r="AE16" s="45">
        <f>I16+I50</f>
        <v>0</v>
      </c>
      <c r="AF16" s="45">
        <f>J16+J50</f>
        <v>469</v>
      </c>
      <c r="AG16" s="45">
        <f>K16+K50</f>
        <v>105</v>
      </c>
      <c r="AH16" s="45">
        <f>L16+L50</f>
        <v>0</v>
      </c>
      <c r="AI16" s="45">
        <f>M16+M50</f>
        <v>11</v>
      </c>
      <c r="AJ16" s="45">
        <f>N16+N50</f>
        <v>2</v>
      </c>
      <c r="AK16" s="45">
        <f>O16+O50</f>
        <v>0</v>
      </c>
      <c r="AL16" s="45">
        <f>P16+P50</f>
        <v>0</v>
      </c>
      <c r="AM16" s="45">
        <f>Q16+Q50</f>
        <v>1024</v>
      </c>
      <c r="AN16" s="45">
        <f>R16+R50</f>
        <v>336</v>
      </c>
      <c r="AO16" s="45">
        <f>S16+S50</f>
        <v>1360</v>
      </c>
      <c r="AP16" s="45">
        <f>T16+T50</f>
        <v>2</v>
      </c>
      <c r="AQ16" s="45">
        <f>U16+U50</f>
        <v>1360</v>
      </c>
      <c r="AR16" s="45">
        <f>V16+V50</f>
        <v>1942.5</v>
      </c>
    </row>
    <row r="17" spans="1:44" x14ac:dyDescent="0.3">
      <c r="A17" s="62" t="str">
        <f>'Day-5'!A17</f>
        <v>19:00-20:00</v>
      </c>
      <c r="B17" s="108">
        <v>211</v>
      </c>
      <c r="C17" s="140">
        <v>29</v>
      </c>
      <c r="D17" s="108">
        <v>19</v>
      </c>
      <c r="E17" s="108">
        <v>35</v>
      </c>
      <c r="F17" s="108">
        <v>16</v>
      </c>
      <c r="G17" s="108">
        <v>34</v>
      </c>
      <c r="H17" s="108">
        <v>91</v>
      </c>
      <c r="I17" s="108">
        <v>0</v>
      </c>
      <c r="J17" s="108">
        <v>238</v>
      </c>
      <c r="K17" s="108">
        <v>19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63">
        <f t="shared" si="2"/>
        <v>497</v>
      </c>
      <c r="R17" s="45">
        <f t="shared" si="3"/>
        <v>195</v>
      </c>
      <c r="S17" s="45">
        <f t="shared" si="0"/>
        <v>692</v>
      </c>
      <c r="T17" s="45">
        <f t="shared" si="4"/>
        <v>0</v>
      </c>
      <c r="U17" s="45">
        <f t="shared" si="5"/>
        <v>692</v>
      </c>
      <c r="V17" s="46">
        <f t="shared" si="6"/>
        <v>1067</v>
      </c>
      <c r="W17" s="47" t="str">
        <f t="shared" si="1"/>
        <v>19:00-20:00</v>
      </c>
      <c r="X17" s="45">
        <f>B17+B51</f>
        <v>374</v>
      </c>
      <c r="Y17" s="45">
        <f>C17+C51</f>
        <v>50</v>
      </c>
      <c r="Z17" s="45">
        <f>D17+D51</f>
        <v>37</v>
      </c>
      <c r="AA17" s="45">
        <f>E17+E51</f>
        <v>61</v>
      </c>
      <c r="AB17" s="45">
        <f>F17+F51</f>
        <v>46</v>
      </c>
      <c r="AC17" s="45">
        <f>G17+G51</f>
        <v>48</v>
      </c>
      <c r="AD17" s="45">
        <f>H17+H51</f>
        <v>153</v>
      </c>
      <c r="AE17" s="45">
        <f>I17+I51</f>
        <v>0</v>
      </c>
      <c r="AF17" s="45">
        <f>J17+J51</f>
        <v>455</v>
      </c>
      <c r="AG17" s="45">
        <f>K17+K51</f>
        <v>51</v>
      </c>
      <c r="AH17" s="45">
        <f>L17+L51</f>
        <v>0</v>
      </c>
      <c r="AI17" s="45">
        <f>M17+M51</f>
        <v>5</v>
      </c>
      <c r="AJ17" s="45">
        <f>N17+N51</f>
        <v>0</v>
      </c>
      <c r="AK17" s="45">
        <f>O17+O51</f>
        <v>0</v>
      </c>
      <c r="AL17" s="45">
        <f>P17+P51</f>
        <v>0</v>
      </c>
      <c r="AM17" s="45">
        <f>Q17+Q51</f>
        <v>930</v>
      </c>
      <c r="AN17" s="45">
        <f>R17+R51</f>
        <v>350</v>
      </c>
      <c r="AO17" s="45">
        <f>S17+S51</f>
        <v>1280</v>
      </c>
      <c r="AP17" s="45">
        <f>T17+T51</f>
        <v>0</v>
      </c>
      <c r="AQ17" s="45">
        <f>U17+U51</f>
        <v>1280</v>
      </c>
      <c r="AR17" s="45">
        <f>V17+V51</f>
        <v>1924</v>
      </c>
    </row>
    <row r="18" spans="1:44" x14ac:dyDescent="0.3">
      <c r="A18" s="62" t="str">
        <f>'Day-5'!A18</f>
        <v>20:00-21:00</v>
      </c>
      <c r="B18" s="108">
        <v>133</v>
      </c>
      <c r="C18" s="140">
        <v>27</v>
      </c>
      <c r="D18" s="108">
        <v>23</v>
      </c>
      <c r="E18" s="108">
        <v>40</v>
      </c>
      <c r="F18" s="108">
        <v>30</v>
      </c>
      <c r="G18" s="108">
        <v>33</v>
      </c>
      <c r="H18" s="108">
        <v>95</v>
      </c>
      <c r="I18" s="108">
        <v>0</v>
      </c>
      <c r="J18" s="108">
        <v>117</v>
      </c>
      <c r="K18" s="108">
        <v>15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63">
        <f t="shared" si="2"/>
        <v>292</v>
      </c>
      <c r="R18" s="45">
        <f t="shared" si="3"/>
        <v>221</v>
      </c>
      <c r="S18" s="45">
        <f t="shared" si="0"/>
        <v>513</v>
      </c>
      <c r="T18" s="45">
        <f t="shared" si="4"/>
        <v>0</v>
      </c>
      <c r="U18" s="45">
        <f t="shared" si="5"/>
        <v>513</v>
      </c>
      <c r="V18" s="46">
        <f t="shared" si="6"/>
        <v>987</v>
      </c>
      <c r="W18" s="47" t="str">
        <f t="shared" si="1"/>
        <v>20:00-21:00</v>
      </c>
      <c r="X18" s="45">
        <f>B18+B52</f>
        <v>250</v>
      </c>
      <c r="Y18" s="45">
        <f>C18+C52</f>
        <v>44</v>
      </c>
      <c r="Z18" s="45">
        <f>D18+D52</f>
        <v>37</v>
      </c>
      <c r="AA18" s="45">
        <f>E18+E52</f>
        <v>59</v>
      </c>
      <c r="AB18" s="45">
        <f>F18+F52</f>
        <v>59</v>
      </c>
      <c r="AC18" s="45">
        <f>G18+G52</f>
        <v>47</v>
      </c>
      <c r="AD18" s="45">
        <f>H18+H52</f>
        <v>160</v>
      </c>
      <c r="AE18" s="45">
        <f>I18+I52</f>
        <v>0</v>
      </c>
      <c r="AF18" s="45">
        <f>J18+J52</f>
        <v>282</v>
      </c>
      <c r="AG18" s="45">
        <f>K18+K52</f>
        <v>24</v>
      </c>
      <c r="AH18" s="45">
        <f>L18+L52</f>
        <v>0</v>
      </c>
      <c r="AI18" s="45">
        <f>M18+M52</f>
        <v>4</v>
      </c>
      <c r="AJ18" s="45">
        <f>N18+N52</f>
        <v>0</v>
      </c>
      <c r="AK18" s="45">
        <f>O18+O52</f>
        <v>0</v>
      </c>
      <c r="AL18" s="45">
        <f>P18+P52</f>
        <v>2</v>
      </c>
      <c r="AM18" s="45">
        <f>Q18+Q52</f>
        <v>600</v>
      </c>
      <c r="AN18" s="45">
        <f>R18+R52</f>
        <v>368</v>
      </c>
      <c r="AO18" s="45">
        <f>S18+S52</f>
        <v>968</v>
      </c>
      <c r="AP18" s="45">
        <f>T18+T52</f>
        <v>0</v>
      </c>
      <c r="AQ18" s="45">
        <f>U18+U52</f>
        <v>968</v>
      </c>
      <c r="AR18" s="45">
        <f>V18+V52</f>
        <v>1737.5</v>
      </c>
    </row>
    <row r="19" spans="1:44" x14ac:dyDescent="0.3">
      <c r="A19" s="62" t="str">
        <f>'Day-5'!A19</f>
        <v>21:00-22:00</v>
      </c>
      <c r="B19" s="108">
        <v>94</v>
      </c>
      <c r="C19" s="142">
        <v>27</v>
      </c>
      <c r="D19" s="108">
        <v>23</v>
      </c>
      <c r="E19" s="108">
        <v>30</v>
      </c>
      <c r="F19" s="108">
        <v>28</v>
      </c>
      <c r="G19" s="108">
        <v>17</v>
      </c>
      <c r="H19" s="108">
        <v>86</v>
      </c>
      <c r="I19" s="108">
        <v>0</v>
      </c>
      <c r="J19" s="108">
        <v>106</v>
      </c>
      <c r="K19" s="108">
        <v>11</v>
      </c>
      <c r="L19" s="108">
        <v>0</v>
      </c>
      <c r="M19" s="108">
        <v>2</v>
      </c>
      <c r="N19" s="108">
        <v>0</v>
      </c>
      <c r="O19" s="108">
        <v>0</v>
      </c>
      <c r="P19" s="108">
        <v>0</v>
      </c>
      <c r="Q19" s="66">
        <f t="shared" si="2"/>
        <v>238</v>
      </c>
      <c r="R19" s="59">
        <f t="shared" si="3"/>
        <v>186</v>
      </c>
      <c r="S19" s="59">
        <f t="shared" si="0"/>
        <v>424</v>
      </c>
      <c r="T19" s="59">
        <f t="shared" si="4"/>
        <v>0</v>
      </c>
      <c r="U19" s="59">
        <f t="shared" si="5"/>
        <v>424</v>
      </c>
      <c r="V19" s="60">
        <f t="shared" si="6"/>
        <v>838</v>
      </c>
      <c r="W19" s="47" t="str">
        <f t="shared" si="1"/>
        <v>21:00-22:00</v>
      </c>
      <c r="X19" s="45">
        <f>B19+B53</f>
        <v>183</v>
      </c>
      <c r="Y19" s="45">
        <f>C19+C53</f>
        <v>51</v>
      </c>
      <c r="Z19" s="45">
        <f>D19+D53</f>
        <v>44</v>
      </c>
      <c r="AA19" s="45">
        <f>E19+E53</f>
        <v>47</v>
      </c>
      <c r="AB19" s="45">
        <f>F19+F53</f>
        <v>42</v>
      </c>
      <c r="AC19" s="45">
        <f>G19+G53</f>
        <v>42</v>
      </c>
      <c r="AD19" s="45">
        <f>H19+H53</f>
        <v>145</v>
      </c>
      <c r="AE19" s="45">
        <f>I19+I53</f>
        <v>0</v>
      </c>
      <c r="AF19" s="45">
        <f>J19+J53</f>
        <v>242</v>
      </c>
      <c r="AG19" s="45">
        <f>K19+K53</f>
        <v>20</v>
      </c>
      <c r="AH19" s="45">
        <f>L19+L53</f>
        <v>0</v>
      </c>
      <c r="AI19" s="45">
        <f>M19+M53</f>
        <v>5</v>
      </c>
      <c r="AJ19" s="45">
        <f>N19+N53</f>
        <v>0</v>
      </c>
      <c r="AK19" s="45">
        <f>O19+O53</f>
        <v>0</v>
      </c>
      <c r="AL19" s="45">
        <f>P19+P53</f>
        <v>0</v>
      </c>
      <c r="AM19" s="45">
        <f>Q19+Q53</f>
        <v>496</v>
      </c>
      <c r="AN19" s="45">
        <f>R19+R53</f>
        <v>325</v>
      </c>
      <c r="AO19" s="45">
        <f>S19+S53</f>
        <v>821</v>
      </c>
      <c r="AP19" s="45">
        <f>T19+T53</f>
        <v>0</v>
      </c>
      <c r="AQ19" s="45">
        <f>U19+U53</f>
        <v>821</v>
      </c>
      <c r="AR19" s="45">
        <f>V19+V53</f>
        <v>1518.5</v>
      </c>
    </row>
    <row r="20" spans="1:44" x14ac:dyDescent="0.3">
      <c r="A20" s="62" t="str">
        <f>'Day-5'!A20</f>
        <v>22:00-23:00</v>
      </c>
      <c r="B20" s="108">
        <v>52</v>
      </c>
      <c r="C20" s="140">
        <v>22</v>
      </c>
      <c r="D20" s="108">
        <v>24</v>
      </c>
      <c r="E20" s="108">
        <v>36</v>
      </c>
      <c r="F20" s="108">
        <v>26</v>
      </c>
      <c r="G20" s="108">
        <v>26</v>
      </c>
      <c r="H20" s="108">
        <v>105</v>
      </c>
      <c r="I20" s="108">
        <v>0</v>
      </c>
      <c r="J20" s="108">
        <v>45</v>
      </c>
      <c r="K20" s="108">
        <v>8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66">
        <f t="shared" si="2"/>
        <v>127</v>
      </c>
      <c r="R20" s="59">
        <f t="shared" si="3"/>
        <v>217</v>
      </c>
      <c r="S20" s="59">
        <f t="shared" si="0"/>
        <v>344</v>
      </c>
      <c r="T20" s="59">
        <f t="shared" si="4"/>
        <v>0</v>
      </c>
      <c r="U20" s="59">
        <f t="shared" si="5"/>
        <v>344</v>
      </c>
      <c r="V20" s="60">
        <f t="shared" si="6"/>
        <v>855</v>
      </c>
      <c r="W20" s="47" t="str">
        <f t="shared" si="1"/>
        <v>22:00-23:00</v>
      </c>
      <c r="X20" s="45">
        <f>B20+B54</f>
        <v>140</v>
      </c>
      <c r="Y20" s="45">
        <f>C20+C54</f>
        <v>32</v>
      </c>
      <c r="Z20" s="45">
        <f>D20+D54</f>
        <v>41</v>
      </c>
      <c r="AA20" s="45">
        <f>E20+E54</f>
        <v>55</v>
      </c>
      <c r="AB20" s="45">
        <f>F20+F54</f>
        <v>47</v>
      </c>
      <c r="AC20" s="45">
        <f>G20+G54</f>
        <v>38</v>
      </c>
      <c r="AD20" s="45">
        <f>H20+H54</f>
        <v>165</v>
      </c>
      <c r="AE20" s="45">
        <f>I20+I54</f>
        <v>0</v>
      </c>
      <c r="AF20" s="45">
        <f>J20+J54</f>
        <v>106</v>
      </c>
      <c r="AG20" s="45">
        <f>K20+K54</f>
        <v>12</v>
      </c>
      <c r="AH20" s="45">
        <f>L20+L54</f>
        <v>0</v>
      </c>
      <c r="AI20" s="45">
        <f>M20+M54</f>
        <v>0</v>
      </c>
      <c r="AJ20" s="45">
        <f>N20+N54</f>
        <v>0</v>
      </c>
      <c r="AK20" s="45">
        <f>O20+O54</f>
        <v>0</v>
      </c>
      <c r="AL20" s="45">
        <f>P20+P54</f>
        <v>0</v>
      </c>
      <c r="AM20" s="45">
        <f>Q20+Q54</f>
        <v>290</v>
      </c>
      <c r="AN20" s="45">
        <f>R20+R54</f>
        <v>346</v>
      </c>
      <c r="AO20" s="45">
        <f>S20+S54</f>
        <v>636</v>
      </c>
      <c r="AP20" s="45">
        <f>T20+T54</f>
        <v>0</v>
      </c>
      <c r="AQ20" s="45">
        <f>U20+U54</f>
        <v>636</v>
      </c>
      <c r="AR20" s="45">
        <f>V20+V54</f>
        <v>1422</v>
      </c>
    </row>
    <row r="21" spans="1:44" x14ac:dyDescent="0.3">
      <c r="A21" s="62" t="str">
        <f>'Day-5'!A21</f>
        <v>23:00-00:00</v>
      </c>
      <c r="B21" s="108">
        <v>46</v>
      </c>
      <c r="C21" s="140">
        <v>14</v>
      </c>
      <c r="D21" s="108">
        <v>12</v>
      </c>
      <c r="E21" s="108">
        <v>17</v>
      </c>
      <c r="F21" s="108">
        <v>24</v>
      </c>
      <c r="G21" s="108">
        <v>18</v>
      </c>
      <c r="H21" s="108">
        <v>69</v>
      </c>
      <c r="I21" s="108">
        <v>0</v>
      </c>
      <c r="J21" s="108">
        <v>19</v>
      </c>
      <c r="K21" s="108">
        <v>5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66">
        <f t="shared" si="2"/>
        <v>84</v>
      </c>
      <c r="R21" s="59">
        <f t="shared" si="3"/>
        <v>140</v>
      </c>
      <c r="S21" s="59">
        <f t="shared" si="0"/>
        <v>224</v>
      </c>
      <c r="T21" s="59">
        <f t="shared" si="4"/>
        <v>0</v>
      </c>
      <c r="U21" s="59">
        <f t="shared" si="5"/>
        <v>224</v>
      </c>
      <c r="V21" s="60">
        <f t="shared" si="6"/>
        <v>576.5</v>
      </c>
      <c r="W21" s="47" t="str">
        <f t="shared" si="1"/>
        <v>23:00-00:00</v>
      </c>
      <c r="X21" s="45">
        <f>B21+B55</f>
        <v>118</v>
      </c>
      <c r="Y21" s="45">
        <f>C21+C55</f>
        <v>22</v>
      </c>
      <c r="Z21" s="45">
        <f>D21+D55</f>
        <v>28</v>
      </c>
      <c r="AA21" s="45">
        <f>E21+E55</f>
        <v>31</v>
      </c>
      <c r="AB21" s="45">
        <f>F21+F55</f>
        <v>46</v>
      </c>
      <c r="AC21" s="45">
        <f>G21+G55</f>
        <v>39</v>
      </c>
      <c r="AD21" s="45">
        <f>H21+H55</f>
        <v>164</v>
      </c>
      <c r="AE21" s="45">
        <f>I21+I55</f>
        <v>0</v>
      </c>
      <c r="AF21" s="45">
        <f>J21+J55</f>
        <v>62</v>
      </c>
      <c r="AG21" s="45">
        <f>K21+K55</f>
        <v>9</v>
      </c>
      <c r="AH21" s="45">
        <f>L21+L55</f>
        <v>0</v>
      </c>
      <c r="AI21" s="45">
        <f>M21+M55</f>
        <v>2</v>
      </c>
      <c r="AJ21" s="45">
        <f>N21+N55</f>
        <v>2</v>
      </c>
      <c r="AK21" s="45">
        <f>O21+O55</f>
        <v>0</v>
      </c>
      <c r="AL21" s="45">
        <f>P21+P55</f>
        <v>0</v>
      </c>
      <c r="AM21" s="45">
        <f>Q21+Q55</f>
        <v>213</v>
      </c>
      <c r="AN21" s="45">
        <f>R21+R55</f>
        <v>310</v>
      </c>
      <c r="AO21" s="45">
        <f>S21+S55</f>
        <v>523</v>
      </c>
      <c r="AP21" s="45">
        <f>T21+T55</f>
        <v>2</v>
      </c>
      <c r="AQ21" s="45">
        <f>U21+U55</f>
        <v>523</v>
      </c>
      <c r="AR21" s="45">
        <f>V21+V55</f>
        <v>1301.5</v>
      </c>
    </row>
    <row r="22" spans="1:44" x14ac:dyDescent="0.3">
      <c r="A22" s="62" t="str">
        <f>'Day-5'!A22</f>
        <v>00:00-01:00</v>
      </c>
      <c r="B22" s="108">
        <v>27</v>
      </c>
      <c r="C22" s="140">
        <v>2</v>
      </c>
      <c r="D22" s="108">
        <v>12</v>
      </c>
      <c r="E22" s="108">
        <v>23</v>
      </c>
      <c r="F22" s="108">
        <v>12</v>
      </c>
      <c r="G22" s="108">
        <v>27</v>
      </c>
      <c r="H22" s="108">
        <v>81</v>
      </c>
      <c r="I22" s="108">
        <v>0</v>
      </c>
      <c r="J22" s="108">
        <v>14</v>
      </c>
      <c r="K22" s="108">
        <v>5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66">
        <f t="shared" si="2"/>
        <v>48</v>
      </c>
      <c r="R22" s="59">
        <f t="shared" si="3"/>
        <v>155</v>
      </c>
      <c r="S22" s="59">
        <f t="shared" si="0"/>
        <v>203</v>
      </c>
      <c r="T22" s="59">
        <f t="shared" si="4"/>
        <v>0</v>
      </c>
      <c r="U22" s="59">
        <f t="shared" si="5"/>
        <v>203</v>
      </c>
      <c r="V22" s="60">
        <f t="shared" si="6"/>
        <v>573</v>
      </c>
      <c r="W22" s="47" t="str">
        <f t="shared" si="1"/>
        <v>00:00-01:00</v>
      </c>
      <c r="X22" s="45">
        <f>B22+B56</f>
        <v>60</v>
      </c>
      <c r="Y22" s="45">
        <f>C22+C56</f>
        <v>5</v>
      </c>
      <c r="Z22" s="45">
        <f>D22+D56</f>
        <v>21</v>
      </c>
      <c r="AA22" s="45">
        <f>E22+E56</f>
        <v>41</v>
      </c>
      <c r="AB22" s="45">
        <f>F22+F56</f>
        <v>30</v>
      </c>
      <c r="AC22" s="45">
        <f>G22+G56</f>
        <v>48</v>
      </c>
      <c r="AD22" s="45">
        <f>H22+H56</f>
        <v>208</v>
      </c>
      <c r="AE22" s="45">
        <f>I22+I56</f>
        <v>0</v>
      </c>
      <c r="AF22" s="45">
        <f>J22+J56</f>
        <v>38</v>
      </c>
      <c r="AG22" s="45">
        <f>K22+K56</f>
        <v>8</v>
      </c>
      <c r="AH22" s="45">
        <f>L22+L56</f>
        <v>0</v>
      </c>
      <c r="AI22" s="45">
        <f>M22+M56</f>
        <v>0</v>
      </c>
      <c r="AJ22" s="45">
        <f>N22+N56</f>
        <v>0</v>
      </c>
      <c r="AK22" s="45">
        <f>O22+O56</f>
        <v>0</v>
      </c>
      <c r="AL22" s="45">
        <f>P22+P56</f>
        <v>2</v>
      </c>
      <c r="AM22" s="45">
        <f>Q22+Q56</f>
        <v>111</v>
      </c>
      <c r="AN22" s="45">
        <f>R22+R56</f>
        <v>350</v>
      </c>
      <c r="AO22" s="45">
        <f>S22+S56</f>
        <v>461</v>
      </c>
      <c r="AP22" s="45">
        <f>T22+T56</f>
        <v>0</v>
      </c>
      <c r="AQ22" s="45">
        <f>U22+U56</f>
        <v>461</v>
      </c>
      <c r="AR22" s="45">
        <f>V22+V56</f>
        <v>1363.5</v>
      </c>
    </row>
    <row r="23" spans="1:44" x14ac:dyDescent="0.3">
      <c r="A23" s="62" t="str">
        <f>'Day-5'!A23</f>
        <v>01:00-02:00</v>
      </c>
      <c r="B23" s="108">
        <v>26</v>
      </c>
      <c r="C23" s="140">
        <v>4</v>
      </c>
      <c r="D23" s="108">
        <v>14</v>
      </c>
      <c r="E23" s="108">
        <v>10</v>
      </c>
      <c r="F23" s="108">
        <v>16</v>
      </c>
      <c r="G23" s="108">
        <v>23</v>
      </c>
      <c r="H23" s="108">
        <v>64</v>
      </c>
      <c r="I23" s="108">
        <v>0</v>
      </c>
      <c r="J23" s="108">
        <v>4</v>
      </c>
      <c r="K23" s="108">
        <v>2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2"/>
        <v>36</v>
      </c>
      <c r="R23" s="59">
        <f t="shared" si="3"/>
        <v>127</v>
      </c>
      <c r="S23" s="59">
        <f t="shared" si="0"/>
        <v>163</v>
      </c>
      <c r="T23" s="59">
        <f t="shared" si="4"/>
        <v>0</v>
      </c>
      <c r="U23" s="59">
        <f t="shared" si="5"/>
        <v>163</v>
      </c>
      <c r="V23" s="60">
        <f t="shared" si="6"/>
        <v>476</v>
      </c>
      <c r="W23" s="47" t="str">
        <f t="shared" si="1"/>
        <v>01:00-02:00</v>
      </c>
      <c r="X23" s="45">
        <f>B23+B57</f>
        <v>39</v>
      </c>
      <c r="Y23" s="45">
        <f>C23+C57</f>
        <v>7</v>
      </c>
      <c r="Z23" s="45">
        <f>D23+D57</f>
        <v>23</v>
      </c>
      <c r="AA23" s="45">
        <f>E23+E57</f>
        <v>20</v>
      </c>
      <c r="AB23" s="45">
        <f>F23+F57</f>
        <v>34</v>
      </c>
      <c r="AC23" s="45">
        <f>G23+G57</f>
        <v>42</v>
      </c>
      <c r="AD23" s="45">
        <f>H23+H57</f>
        <v>140</v>
      </c>
      <c r="AE23" s="45">
        <f>I23+I57</f>
        <v>0</v>
      </c>
      <c r="AF23" s="45">
        <f>J23+J57</f>
        <v>12</v>
      </c>
      <c r="AG23" s="45">
        <f>K23+K57</f>
        <v>2</v>
      </c>
      <c r="AH23" s="45">
        <f>L23+L57</f>
        <v>0</v>
      </c>
      <c r="AI23" s="45">
        <f>M23+M57</f>
        <v>0</v>
      </c>
      <c r="AJ23" s="45">
        <f>N23+N57</f>
        <v>0</v>
      </c>
      <c r="AK23" s="45">
        <f>O23+O57</f>
        <v>0</v>
      </c>
      <c r="AL23" s="45">
        <f>P23+P57</f>
        <v>0</v>
      </c>
      <c r="AM23" s="45">
        <f>Q23+Q57</f>
        <v>60</v>
      </c>
      <c r="AN23" s="45">
        <f>R23+R57</f>
        <v>259</v>
      </c>
      <c r="AO23" s="45">
        <f>S23+S57</f>
        <v>319</v>
      </c>
      <c r="AP23" s="45">
        <f>T23+T57</f>
        <v>0</v>
      </c>
      <c r="AQ23" s="45">
        <f>U23+U57</f>
        <v>319</v>
      </c>
      <c r="AR23" s="45">
        <f>V23+V57</f>
        <v>979</v>
      </c>
    </row>
    <row r="24" spans="1:44" x14ac:dyDescent="0.3">
      <c r="A24" s="62" t="str">
        <f>'Day-5'!A24</f>
        <v>02:00-03:00</v>
      </c>
      <c r="B24" s="108">
        <v>26</v>
      </c>
      <c r="C24" s="140">
        <v>7</v>
      </c>
      <c r="D24" s="108">
        <v>10</v>
      </c>
      <c r="E24" s="108">
        <v>19</v>
      </c>
      <c r="F24" s="108">
        <v>17</v>
      </c>
      <c r="G24" s="108">
        <v>26</v>
      </c>
      <c r="H24" s="108">
        <v>65</v>
      </c>
      <c r="I24" s="108">
        <v>0</v>
      </c>
      <c r="J24" s="108">
        <v>6</v>
      </c>
      <c r="K24" s="108">
        <v>4</v>
      </c>
      <c r="L24" s="108">
        <v>0</v>
      </c>
      <c r="M24" s="108">
        <v>0</v>
      </c>
      <c r="N24" s="108">
        <v>0</v>
      </c>
      <c r="O24" s="108">
        <v>0</v>
      </c>
      <c r="P24" s="108">
        <v>2</v>
      </c>
      <c r="Q24" s="66">
        <f t="shared" si="2"/>
        <v>43</v>
      </c>
      <c r="R24" s="59">
        <f t="shared" si="3"/>
        <v>139</v>
      </c>
      <c r="S24" s="59">
        <f t="shared" si="0"/>
        <v>182</v>
      </c>
      <c r="T24" s="59">
        <f t="shared" si="4"/>
        <v>0</v>
      </c>
      <c r="U24" s="59">
        <f t="shared" si="5"/>
        <v>182</v>
      </c>
      <c r="V24" s="60">
        <f t="shared" si="6"/>
        <v>523</v>
      </c>
      <c r="W24" s="47" t="str">
        <f t="shared" si="1"/>
        <v>02:00-03:00</v>
      </c>
      <c r="X24" s="45">
        <f>B24+B58</f>
        <v>44</v>
      </c>
      <c r="Y24" s="45">
        <f>C24+C58</f>
        <v>17</v>
      </c>
      <c r="Z24" s="45">
        <f>D24+D58</f>
        <v>21</v>
      </c>
      <c r="AA24" s="45">
        <f>E24+E58</f>
        <v>40</v>
      </c>
      <c r="AB24" s="45">
        <f>F24+F58</f>
        <v>34</v>
      </c>
      <c r="AC24" s="45">
        <f>G24+G58</f>
        <v>39</v>
      </c>
      <c r="AD24" s="45">
        <f>H24+H58</f>
        <v>139</v>
      </c>
      <c r="AE24" s="45">
        <f>I24+I58</f>
        <v>0</v>
      </c>
      <c r="AF24" s="45">
        <f>J24+J58</f>
        <v>14</v>
      </c>
      <c r="AG24" s="45">
        <f>K24+K58</f>
        <v>4</v>
      </c>
      <c r="AH24" s="45">
        <f>L24+L58</f>
        <v>0</v>
      </c>
      <c r="AI24" s="45">
        <f>M24+M58</f>
        <v>2</v>
      </c>
      <c r="AJ24" s="45">
        <f>N24+N58</f>
        <v>0</v>
      </c>
      <c r="AK24" s="45">
        <f>O24+O58</f>
        <v>0</v>
      </c>
      <c r="AL24" s="45">
        <f>P24+P58</f>
        <v>4</v>
      </c>
      <c r="AM24" s="45">
        <f>Q24+Q58</f>
        <v>79</v>
      </c>
      <c r="AN24" s="45">
        <f>R24+R58</f>
        <v>279</v>
      </c>
      <c r="AO24" s="45">
        <f>S24+S58</f>
        <v>358</v>
      </c>
      <c r="AP24" s="45">
        <f>T24+T58</f>
        <v>0</v>
      </c>
      <c r="AQ24" s="45">
        <f>U24+U58</f>
        <v>358</v>
      </c>
      <c r="AR24" s="45">
        <f>V24+V58</f>
        <v>1058.5</v>
      </c>
    </row>
    <row r="25" spans="1:44" x14ac:dyDescent="0.3">
      <c r="A25" s="62" t="str">
        <f>'Day-5'!A25</f>
        <v>03:00-04:00</v>
      </c>
      <c r="B25" s="108">
        <v>18</v>
      </c>
      <c r="C25" s="140">
        <v>3</v>
      </c>
      <c r="D25" s="108">
        <v>15</v>
      </c>
      <c r="E25" s="108">
        <v>15</v>
      </c>
      <c r="F25" s="108">
        <v>11</v>
      </c>
      <c r="G25" s="108">
        <v>13</v>
      </c>
      <c r="H25" s="108">
        <v>73</v>
      </c>
      <c r="I25" s="108">
        <v>0</v>
      </c>
      <c r="J25" s="108">
        <v>8</v>
      </c>
      <c r="K25" s="108">
        <v>15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2"/>
        <v>44</v>
      </c>
      <c r="R25" s="59">
        <f t="shared" si="3"/>
        <v>127</v>
      </c>
      <c r="S25" s="59">
        <f t="shared" si="0"/>
        <v>171</v>
      </c>
      <c r="T25" s="59">
        <f t="shared" si="4"/>
        <v>0</v>
      </c>
      <c r="U25" s="59">
        <f t="shared" si="5"/>
        <v>171</v>
      </c>
      <c r="V25" s="60">
        <f t="shared" si="6"/>
        <v>484</v>
      </c>
      <c r="W25" s="47" t="str">
        <f t="shared" si="1"/>
        <v>03:00-04:00</v>
      </c>
      <c r="X25" s="45">
        <f>B25+B59</f>
        <v>37</v>
      </c>
      <c r="Y25" s="45">
        <f>C25+C59</f>
        <v>13</v>
      </c>
      <c r="Z25" s="45">
        <f>D25+D59</f>
        <v>29</v>
      </c>
      <c r="AA25" s="45">
        <f>E25+E59</f>
        <v>25</v>
      </c>
      <c r="AB25" s="45">
        <f>F25+F59</f>
        <v>24</v>
      </c>
      <c r="AC25" s="45">
        <f>G25+G59</f>
        <v>28</v>
      </c>
      <c r="AD25" s="45">
        <f>H25+H59</f>
        <v>139</v>
      </c>
      <c r="AE25" s="45">
        <f>I25+I59</f>
        <v>0</v>
      </c>
      <c r="AF25" s="45">
        <f>J25+J59</f>
        <v>23</v>
      </c>
      <c r="AG25" s="45">
        <f>K25+K59</f>
        <v>19</v>
      </c>
      <c r="AH25" s="45">
        <f>L25+L59</f>
        <v>0</v>
      </c>
      <c r="AI25" s="45">
        <f>M25+M59</f>
        <v>0</v>
      </c>
      <c r="AJ25" s="45">
        <f>N25+N59</f>
        <v>0</v>
      </c>
      <c r="AK25" s="45">
        <f>O25+O59</f>
        <v>0</v>
      </c>
      <c r="AL25" s="45">
        <f>P25+P59</f>
        <v>0</v>
      </c>
      <c r="AM25" s="45">
        <f>Q25+Q59</f>
        <v>92</v>
      </c>
      <c r="AN25" s="45">
        <f>R25+R59</f>
        <v>245</v>
      </c>
      <c r="AO25" s="45">
        <f>S25+S59</f>
        <v>337</v>
      </c>
      <c r="AP25" s="45">
        <f>T25+T59</f>
        <v>0</v>
      </c>
      <c r="AQ25" s="45">
        <f>U25+U59</f>
        <v>337</v>
      </c>
      <c r="AR25" s="45">
        <f>V25+V59</f>
        <v>954.5</v>
      </c>
    </row>
    <row r="26" spans="1:44" x14ac:dyDescent="0.3">
      <c r="A26" s="62" t="str">
        <f>'Day-5'!A26</f>
        <v>04:00-05:00</v>
      </c>
      <c r="B26" s="108">
        <v>25</v>
      </c>
      <c r="C26" s="140">
        <v>3</v>
      </c>
      <c r="D26" s="108">
        <v>13</v>
      </c>
      <c r="E26" s="108">
        <v>13</v>
      </c>
      <c r="F26" s="108">
        <v>18</v>
      </c>
      <c r="G26" s="108">
        <v>24</v>
      </c>
      <c r="H26" s="108">
        <v>78</v>
      </c>
      <c r="I26" s="108">
        <v>0</v>
      </c>
      <c r="J26" s="108">
        <v>25</v>
      </c>
      <c r="K26" s="108">
        <v>16</v>
      </c>
      <c r="L26" s="108">
        <v>0</v>
      </c>
      <c r="M26" s="108">
        <v>4</v>
      </c>
      <c r="N26" s="108">
        <v>0</v>
      </c>
      <c r="O26" s="108">
        <v>0</v>
      </c>
      <c r="P26" s="108">
        <v>0</v>
      </c>
      <c r="Q26" s="66">
        <f t="shared" si="2"/>
        <v>69</v>
      </c>
      <c r="R26" s="59">
        <f t="shared" si="3"/>
        <v>150</v>
      </c>
      <c r="S26" s="59">
        <f t="shared" si="0"/>
        <v>219</v>
      </c>
      <c r="T26" s="59">
        <f t="shared" si="4"/>
        <v>0</v>
      </c>
      <c r="U26" s="59">
        <f t="shared" si="5"/>
        <v>219</v>
      </c>
      <c r="V26" s="60">
        <f t="shared" si="6"/>
        <v>590</v>
      </c>
      <c r="W26" s="47" t="str">
        <f t="shared" si="1"/>
        <v>04:00-05:00</v>
      </c>
      <c r="X26" s="45">
        <f>B26+B60</f>
        <v>41</v>
      </c>
      <c r="Y26" s="45">
        <f>C26+C60</f>
        <v>9</v>
      </c>
      <c r="Z26" s="45">
        <f>D26+D60</f>
        <v>19</v>
      </c>
      <c r="AA26" s="45">
        <f>E26+E60</f>
        <v>26</v>
      </c>
      <c r="AB26" s="45">
        <f>F26+F60</f>
        <v>32</v>
      </c>
      <c r="AC26" s="45">
        <f>G26+G60</f>
        <v>46</v>
      </c>
      <c r="AD26" s="45">
        <f>H26+H60</f>
        <v>159</v>
      </c>
      <c r="AE26" s="45">
        <f>I26+I60</f>
        <v>0</v>
      </c>
      <c r="AF26" s="45">
        <f>J26+J60</f>
        <v>47</v>
      </c>
      <c r="AG26" s="45">
        <f>K26+K60</f>
        <v>21</v>
      </c>
      <c r="AH26" s="45">
        <f>L26+L60</f>
        <v>0</v>
      </c>
      <c r="AI26" s="45">
        <f>M26+M60</f>
        <v>4</v>
      </c>
      <c r="AJ26" s="45">
        <f>N26+N60</f>
        <v>0</v>
      </c>
      <c r="AK26" s="45">
        <f>O26+O60</f>
        <v>0</v>
      </c>
      <c r="AL26" s="45">
        <f>P26+P60</f>
        <v>0</v>
      </c>
      <c r="AM26" s="45">
        <f>Q26+Q60</f>
        <v>118</v>
      </c>
      <c r="AN26" s="45">
        <f>R26+R60</f>
        <v>286</v>
      </c>
      <c r="AO26" s="45">
        <f>S26+S60</f>
        <v>404</v>
      </c>
      <c r="AP26" s="45">
        <f>T26+T60</f>
        <v>0</v>
      </c>
      <c r="AQ26" s="45">
        <f>U26+U60</f>
        <v>404</v>
      </c>
      <c r="AR26" s="45">
        <f>V26+V60</f>
        <v>1138</v>
      </c>
    </row>
    <row r="27" spans="1:44" x14ac:dyDescent="0.3">
      <c r="A27" s="62" t="str">
        <f>'Day-5'!A27</f>
        <v>05:00-06:00</v>
      </c>
      <c r="B27" s="108">
        <v>46</v>
      </c>
      <c r="C27" s="140">
        <v>2</v>
      </c>
      <c r="D27" s="108">
        <v>17</v>
      </c>
      <c r="E27" s="108">
        <v>22</v>
      </c>
      <c r="F27" s="108">
        <v>14</v>
      </c>
      <c r="G27" s="108">
        <v>15</v>
      </c>
      <c r="H27" s="108">
        <v>64</v>
      </c>
      <c r="I27" s="108">
        <v>0</v>
      </c>
      <c r="J27" s="108">
        <v>59</v>
      </c>
      <c r="K27" s="108">
        <v>19</v>
      </c>
      <c r="L27" s="108">
        <v>0</v>
      </c>
      <c r="M27" s="108">
        <v>4</v>
      </c>
      <c r="N27" s="108">
        <v>0</v>
      </c>
      <c r="O27" s="108">
        <v>0</v>
      </c>
      <c r="P27" s="108">
        <v>0</v>
      </c>
      <c r="Q27" s="66">
        <f t="shared" si="2"/>
        <v>126</v>
      </c>
      <c r="R27" s="59">
        <f t="shared" si="3"/>
        <v>136</v>
      </c>
      <c r="S27" s="59">
        <f t="shared" si="0"/>
        <v>262</v>
      </c>
      <c r="T27" s="59">
        <f t="shared" si="4"/>
        <v>0</v>
      </c>
      <c r="U27" s="59">
        <f t="shared" si="5"/>
        <v>262</v>
      </c>
      <c r="V27" s="60">
        <f t="shared" si="6"/>
        <v>543.5</v>
      </c>
      <c r="W27" s="47" t="str">
        <f t="shared" si="1"/>
        <v>05:00-06:00</v>
      </c>
      <c r="X27" s="45">
        <f>B27+B61</f>
        <v>92</v>
      </c>
      <c r="Y27" s="45">
        <f>C27+C61</f>
        <v>26</v>
      </c>
      <c r="Z27" s="45">
        <f>D27+D61</f>
        <v>26</v>
      </c>
      <c r="AA27" s="45">
        <f>E27+E61</f>
        <v>45</v>
      </c>
      <c r="AB27" s="45">
        <f>F27+F61</f>
        <v>45</v>
      </c>
      <c r="AC27" s="45">
        <f>G27+G61</f>
        <v>55</v>
      </c>
      <c r="AD27" s="45">
        <f>H27+H61</f>
        <v>147</v>
      </c>
      <c r="AE27" s="45">
        <f>I27+I61</f>
        <v>0</v>
      </c>
      <c r="AF27" s="45">
        <f>J27+J61</f>
        <v>140</v>
      </c>
      <c r="AG27" s="45">
        <f>K27+K61</f>
        <v>32</v>
      </c>
      <c r="AH27" s="45">
        <f>L27+L61</f>
        <v>0</v>
      </c>
      <c r="AI27" s="45">
        <f>M27+M61</f>
        <v>6</v>
      </c>
      <c r="AJ27" s="45">
        <f>N27+N61</f>
        <v>0</v>
      </c>
      <c r="AK27" s="45">
        <f>O27+O61</f>
        <v>0</v>
      </c>
      <c r="AL27" s="45">
        <f>P27+P61</f>
        <v>0</v>
      </c>
      <c r="AM27" s="45">
        <f>Q27+Q61</f>
        <v>290</v>
      </c>
      <c r="AN27" s="45">
        <f>R27+R61</f>
        <v>324</v>
      </c>
      <c r="AO27" s="45">
        <f>S27+S61</f>
        <v>614</v>
      </c>
      <c r="AP27" s="45">
        <f>T27+T61</f>
        <v>0</v>
      </c>
      <c r="AQ27" s="45">
        <f>U27+U61</f>
        <v>614</v>
      </c>
      <c r="AR27" s="45">
        <f>V27+V61</f>
        <v>1354</v>
      </c>
    </row>
    <row r="28" spans="1:44" x14ac:dyDescent="0.3">
      <c r="A28" s="62" t="str">
        <f>'Day-5'!A28</f>
        <v>06:00-07:00</v>
      </c>
      <c r="B28" s="108">
        <v>108</v>
      </c>
      <c r="C28" s="140">
        <v>15</v>
      </c>
      <c r="D28" s="108">
        <v>11</v>
      </c>
      <c r="E28" s="108">
        <v>13</v>
      </c>
      <c r="F28" s="108">
        <v>24</v>
      </c>
      <c r="G28" s="108">
        <v>23</v>
      </c>
      <c r="H28" s="108">
        <v>51</v>
      </c>
      <c r="I28" s="108">
        <v>0</v>
      </c>
      <c r="J28" s="108">
        <v>111</v>
      </c>
      <c r="K28" s="108">
        <v>38</v>
      </c>
      <c r="L28" s="108">
        <v>3</v>
      </c>
      <c r="M28" s="108">
        <v>0</v>
      </c>
      <c r="N28" s="108">
        <v>2</v>
      </c>
      <c r="O28" s="108">
        <v>0</v>
      </c>
      <c r="P28" s="108">
        <v>0</v>
      </c>
      <c r="Q28" s="66">
        <f t="shared" si="2"/>
        <v>274</v>
      </c>
      <c r="R28" s="59">
        <f t="shared" si="3"/>
        <v>125</v>
      </c>
      <c r="S28" s="59">
        <f t="shared" si="0"/>
        <v>399</v>
      </c>
      <c r="T28" s="59">
        <f t="shared" si="4"/>
        <v>2</v>
      </c>
      <c r="U28" s="59">
        <f t="shared" si="5"/>
        <v>399</v>
      </c>
      <c r="V28" s="60">
        <f t="shared" si="6"/>
        <v>653</v>
      </c>
      <c r="W28" s="47" t="str">
        <f t="shared" si="1"/>
        <v>06:00-07:00</v>
      </c>
      <c r="X28" s="45">
        <f>B28+B62</f>
        <v>178</v>
      </c>
      <c r="Y28" s="45">
        <f>C28+C62</f>
        <v>40</v>
      </c>
      <c r="Z28" s="45">
        <f>D28+D62</f>
        <v>25</v>
      </c>
      <c r="AA28" s="45">
        <f>E28+E62</f>
        <v>29</v>
      </c>
      <c r="AB28" s="45">
        <f>F28+F62</f>
        <v>53</v>
      </c>
      <c r="AC28" s="45">
        <f>G28+G62</f>
        <v>57</v>
      </c>
      <c r="AD28" s="45">
        <f>H28+H62</f>
        <v>144</v>
      </c>
      <c r="AE28" s="45">
        <f>I28+I62</f>
        <v>0</v>
      </c>
      <c r="AF28" s="45">
        <f>J28+J62</f>
        <v>205</v>
      </c>
      <c r="AG28" s="45">
        <f>K28+K62</f>
        <v>54</v>
      </c>
      <c r="AH28" s="45">
        <f>L28+L62</f>
        <v>3</v>
      </c>
      <c r="AI28" s="45">
        <f>M28+M62</f>
        <v>3</v>
      </c>
      <c r="AJ28" s="45">
        <f>N28+N62</f>
        <v>2</v>
      </c>
      <c r="AK28" s="45">
        <f>O28+O62</f>
        <v>0</v>
      </c>
      <c r="AL28" s="45">
        <f>P28+P62</f>
        <v>2</v>
      </c>
      <c r="AM28" s="45">
        <f>Q28+Q62</f>
        <v>479</v>
      </c>
      <c r="AN28" s="45">
        <f>R28+R62</f>
        <v>316</v>
      </c>
      <c r="AO28" s="45">
        <f>S28+S62</f>
        <v>795</v>
      </c>
      <c r="AP28" s="45">
        <f>T28+T62</f>
        <v>2</v>
      </c>
      <c r="AQ28" s="45">
        <f>U28+U62</f>
        <v>795</v>
      </c>
      <c r="AR28" s="45">
        <f>V28+V62</f>
        <v>1529</v>
      </c>
    </row>
    <row r="29" spans="1:44" x14ac:dyDescent="0.3">
      <c r="A29" s="62" t="str">
        <f>'Day-5'!A29</f>
        <v>07:00-08:00</v>
      </c>
      <c r="B29" s="108">
        <v>115</v>
      </c>
      <c r="C29" s="140">
        <v>24</v>
      </c>
      <c r="D29" s="108">
        <v>13</v>
      </c>
      <c r="E29" s="108">
        <v>18</v>
      </c>
      <c r="F29" s="108">
        <v>22</v>
      </c>
      <c r="G29" s="108">
        <v>21</v>
      </c>
      <c r="H29" s="108">
        <v>62</v>
      </c>
      <c r="I29" s="108">
        <v>0</v>
      </c>
      <c r="J29" s="108">
        <v>145</v>
      </c>
      <c r="K29" s="108">
        <v>36</v>
      </c>
      <c r="L29" s="108">
        <v>2</v>
      </c>
      <c r="M29" s="108">
        <v>4</v>
      </c>
      <c r="N29" s="108">
        <v>0</v>
      </c>
      <c r="O29" s="108">
        <v>0</v>
      </c>
      <c r="P29" s="108">
        <v>0</v>
      </c>
      <c r="Q29" s="66">
        <f t="shared" si="2"/>
        <v>320</v>
      </c>
      <c r="R29" s="59">
        <f t="shared" si="3"/>
        <v>142</v>
      </c>
      <c r="S29" s="59">
        <f t="shared" si="0"/>
        <v>462</v>
      </c>
      <c r="T29" s="59">
        <f t="shared" si="4"/>
        <v>0</v>
      </c>
      <c r="U29" s="59">
        <f t="shared" si="5"/>
        <v>462</v>
      </c>
      <c r="V29" s="60">
        <f t="shared" si="6"/>
        <v>764.5</v>
      </c>
      <c r="W29" s="47" t="str">
        <f t="shared" si="1"/>
        <v>07:00-08:00</v>
      </c>
      <c r="X29" s="45">
        <f>B29+B63</f>
        <v>219</v>
      </c>
      <c r="Y29" s="45">
        <f>C29+C63</f>
        <v>55</v>
      </c>
      <c r="Z29" s="45">
        <f>D29+D63</f>
        <v>31</v>
      </c>
      <c r="AA29" s="45">
        <f>E29+E63</f>
        <v>39</v>
      </c>
      <c r="AB29" s="45">
        <f>F29+F63</f>
        <v>49</v>
      </c>
      <c r="AC29" s="45">
        <f>G29+G63</f>
        <v>61</v>
      </c>
      <c r="AD29" s="45">
        <f>H29+H63</f>
        <v>161</v>
      </c>
      <c r="AE29" s="45">
        <f>I29+I63</f>
        <v>0</v>
      </c>
      <c r="AF29" s="45">
        <f>J29+J63</f>
        <v>304</v>
      </c>
      <c r="AG29" s="45">
        <f>K29+K63</f>
        <v>60</v>
      </c>
      <c r="AH29" s="45">
        <f>L29+L63</f>
        <v>2</v>
      </c>
      <c r="AI29" s="45">
        <f>M29+M63</f>
        <v>11</v>
      </c>
      <c r="AJ29" s="45">
        <f>N29+N63</f>
        <v>0</v>
      </c>
      <c r="AK29" s="45">
        <f>O29+O63</f>
        <v>0</v>
      </c>
      <c r="AL29" s="45">
        <f>P29+P63</f>
        <v>2</v>
      </c>
      <c r="AM29" s="45">
        <f>Q29+Q63</f>
        <v>638</v>
      </c>
      <c r="AN29" s="45">
        <f>R29+R63</f>
        <v>356</v>
      </c>
      <c r="AO29" s="45">
        <f>S29+S63</f>
        <v>994</v>
      </c>
      <c r="AP29" s="45">
        <f>T29+T63</f>
        <v>0</v>
      </c>
      <c r="AQ29" s="45">
        <f>U29+U63</f>
        <v>994</v>
      </c>
      <c r="AR29" s="45">
        <f>V29+V63</f>
        <v>1801.5</v>
      </c>
    </row>
    <row r="30" spans="1:44" x14ac:dyDescent="0.3">
      <c r="A30" s="62" t="str">
        <f>'Day-5'!A30</f>
        <v>08:00-09:00</v>
      </c>
      <c r="B30" s="108">
        <v>181</v>
      </c>
      <c r="C30" s="140">
        <v>31</v>
      </c>
      <c r="D30" s="108">
        <v>17</v>
      </c>
      <c r="E30" s="108">
        <v>24</v>
      </c>
      <c r="F30" s="108">
        <v>12</v>
      </c>
      <c r="G30" s="108">
        <v>15</v>
      </c>
      <c r="H30" s="108">
        <v>56</v>
      </c>
      <c r="I30" s="108">
        <v>0</v>
      </c>
      <c r="J30" s="108">
        <v>260</v>
      </c>
      <c r="K30" s="108">
        <v>49</v>
      </c>
      <c r="L30" s="108">
        <v>2</v>
      </c>
      <c r="M30" s="108">
        <v>8</v>
      </c>
      <c r="N30" s="108">
        <v>0</v>
      </c>
      <c r="O30" s="108">
        <v>0</v>
      </c>
      <c r="P30" s="108">
        <v>0</v>
      </c>
      <c r="Q30" s="66">
        <f t="shared" si="2"/>
        <v>521</v>
      </c>
      <c r="R30" s="59">
        <f t="shared" si="3"/>
        <v>134</v>
      </c>
      <c r="S30" s="59">
        <f t="shared" si="0"/>
        <v>655</v>
      </c>
      <c r="T30" s="59">
        <f t="shared" si="4"/>
        <v>0</v>
      </c>
      <c r="U30" s="59">
        <f t="shared" si="5"/>
        <v>655</v>
      </c>
      <c r="V30" s="60">
        <f t="shared" si="6"/>
        <v>878</v>
      </c>
      <c r="W30" s="47" t="str">
        <f t="shared" si="1"/>
        <v>08:00-09:00</v>
      </c>
      <c r="X30" s="45">
        <f>B30+B64</f>
        <v>363</v>
      </c>
      <c r="Y30" s="45">
        <f>C30+C64</f>
        <v>85</v>
      </c>
      <c r="Z30" s="45">
        <f>D30+D64</f>
        <v>42</v>
      </c>
      <c r="AA30" s="45">
        <f>E30+E64</f>
        <v>46</v>
      </c>
      <c r="AB30" s="45">
        <f>F30+F64</f>
        <v>44</v>
      </c>
      <c r="AC30" s="45">
        <f>G30+G64</f>
        <v>59</v>
      </c>
      <c r="AD30" s="45">
        <f>H30+H64</f>
        <v>142</v>
      </c>
      <c r="AE30" s="45">
        <f>I30+I64</f>
        <v>0</v>
      </c>
      <c r="AF30" s="45">
        <f>J30+J64</f>
        <v>549</v>
      </c>
      <c r="AG30" s="45">
        <f>K30+K64</f>
        <v>75</v>
      </c>
      <c r="AH30" s="45">
        <f>L30+L64</f>
        <v>2</v>
      </c>
      <c r="AI30" s="45">
        <f>M30+M64</f>
        <v>13</v>
      </c>
      <c r="AJ30" s="45">
        <f>N30+N64</f>
        <v>0</v>
      </c>
      <c r="AK30" s="45">
        <f>O30+O64</f>
        <v>0</v>
      </c>
      <c r="AL30" s="45">
        <f>P30+P64</f>
        <v>2</v>
      </c>
      <c r="AM30" s="45">
        <f>Q30+Q64</f>
        <v>1072</v>
      </c>
      <c r="AN30" s="45">
        <f>R30+R64</f>
        <v>350</v>
      </c>
      <c r="AO30" s="45">
        <f>S30+S64</f>
        <v>1422</v>
      </c>
      <c r="AP30" s="45">
        <f>T30+T64</f>
        <v>0</v>
      </c>
      <c r="AQ30" s="45">
        <f>U30+U64</f>
        <v>1422</v>
      </c>
      <c r="AR30" s="45">
        <f>V30+V64</f>
        <v>2097</v>
      </c>
    </row>
    <row r="31" spans="1:44" x14ac:dyDescent="0.3">
      <c r="A31" s="62" t="str">
        <f>'Day-5'!A31</f>
        <v>09:00-10:00</v>
      </c>
      <c r="B31" s="108">
        <v>210</v>
      </c>
      <c r="C31" s="140">
        <v>31</v>
      </c>
      <c r="D31" s="108">
        <v>23</v>
      </c>
      <c r="E31" s="108">
        <v>25</v>
      </c>
      <c r="F31" s="108">
        <v>17</v>
      </c>
      <c r="G31" s="108">
        <v>17</v>
      </c>
      <c r="H31" s="108">
        <v>76</v>
      </c>
      <c r="I31" s="108">
        <v>0</v>
      </c>
      <c r="J31" s="108">
        <v>265</v>
      </c>
      <c r="K31" s="108">
        <v>54</v>
      </c>
      <c r="L31" s="108">
        <v>2</v>
      </c>
      <c r="M31" s="108">
        <v>3</v>
      </c>
      <c r="N31" s="108">
        <v>0</v>
      </c>
      <c r="O31" s="108">
        <v>0</v>
      </c>
      <c r="P31" s="108">
        <v>0</v>
      </c>
      <c r="Q31" s="66">
        <f t="shared" si="2"/>
        <v>560</v>
      </c>
      <c r="R31" s="59">
        <f t="shared" si="3"/>
        <v>163</v>
      </c>
      <c r="S31" s="59">
        <f t="shared" si="0"/>
        <v>723</v>
      </c>
      <c r="T31" s="59">
        <f t="shared" si="4"/>
        <v>0</v>
      </c>
      <c r="U31" s="59">
        <f t="shared" si="5"/>
        <v>723</v>
      </c>
      <c r="V31" s="60">
        <f t="shared" si="6"/>
        <v>1010.5</v>
      </c>
      <c r="W31" s="47" t="str">
        <f t="shared" si="1"/>
        <v>09:00-10:00</v>
      </c>
      <c r="X31" s="45">
        <f>B31+B65</f>
        <v>408</v>
      </c>
      <c r="Y31" s="45">
        <f>C31+C65</f>
        <v>49</v>
      </c>
      <c r="Z31" s="45">
        <f>D31+D65</f>
        <v>38</v>
      </c>
      <c r="AA31" s="45">
        <f>E31+E65</f>
        <v>34</v>
      </c>
      <c r="AB31" s="45">
        <f>F31+F65</f>
        <v>34</v>
      </c>
      <c r="AC31" s="45">
        <f>G31+G65</f>
        <v>52</v>
      </c>
      <c r="AD31" s="45">
        <f>H31+H65</f>
        <v>158</v>
      </c>
      <c r="AE31" s="45">
        <f>I31+I65</f>
        <v>0</v>
      </c>
      <c r="AF31" s="45">
        <f>J31+J65</f>
        <v>523</v>
      </c>
      <c r="AG31" s="45">
        <f>K31+K65</f>
        <v>113</v>
      </c>
      <c r="AH31" s="45">
        <f>L31+L65</f>
        <v>2</v>
      </c>
      <c r="AI31" s="45">
        <f>M31+M65</f>
        <v>6</v>
      </c>
      <c r="AJ31" s="45">
        <f>N31+N65</f>
        <v>2</v>
      </c>
      <c r="AK31" s="45">
        <f>O31+O65</f>
        <v>0</v>
      </c>
      <c r="AL31" s="45">
        <f>P31+P65</f>
        <v>0</v>
      </c>
      <c r="AM31" s="45">
        <f>Q31+Q65</f>
        <v>1095</v>
      </c>
      <c r="AN31" s="45">
        <f>R31+R65</f>
        <v>324</v>
      </c>
      <c r="AO31" s="45">
        <f>S31+S65</f>
        <v>1419</v>
      </c>
      <c r="AP31" s="45">
        <f>T31+T65</f>
        <v>2</v>
      </c>
      <c r="AQ31" s="45">
        <f>U31+U65</f>
        <v>1419</v>
      </c>
      <c r="AR31" s="45">
        <f>V31+V65</f>
        <v>2018.5</v>
      </c>
    </row>
    <row r="32" spans="1:44" x14ac:dyDescent="0.3">
      <c r="A32" s="62" t="str">
        <f>'Day-5'!A32</f>
        <v>10:00-11:00</v>
      </c>
      <c r="B32" s="108">
        <v>253</v>
      </c>
      <c r="C32" s="140">
        <v>26</v>
      </c>
      <c r="D32" s="108">
        <v>18</v>
      </c>
      <c r="E32" s="108">
        <v>23</v>
      </c>
      <c r="F32" s="108">
        <v>25</v>
      </c>
      <c r="G32" s="108">
        <v>24</v>
      </c>
      <c r="H32" s="108">
        <v>55</v>
      </c>
      <c r="I32" s="108">
        <v>0</v>
      </c>
      <c r="J32" s="108">
        <v>230</v>
      </c>
      <c r="K32" s="108">
        <v>48</v>
      </c>
      <c r="L32" s="108">
        <v>0</v>
      </c>
      <c r="M32" s="108">
        <v>6</v>
      </c>
      <c r="N32" s="108">
        <v>0</v>
      </c>
      <c r="O32" s="108">
        <v>2</v>
      </c>
      <c r="P32" s="108">
        <v>0</v>
      </c>
      <c r="Q32" s="66">
        <f t="shared" si="2"/>
        <v>559</v>
      </c>
      <c r="R32" s="59">
        <f t="shared" si="3"/>
        <v>151</v>
      </c>
      <c r="S32" s="59">
        <f t="shared" si="0"/>
        <v>710</v>
      </c>
      <c r="T32" s="59">
        <f t="shared" si="4"/>
        <v>2</v>
      </c>
      <c r="U32" s="59">
        <f t="shared" si="5"/>
        <v>710</v>
      </c>
      <c r="V32" s="60">
        <f t="shared" si="6"/>
        <v>972</v>
      </c>
      <c r="W32" s="47" t="str">
        <f t="shared" si="1"/>
        <v>10:00-11:00</v>
      </c>
      <c r="X32" s="45">
        <f>B32+B66</f>
        <v>485</v>
      </c>
      <c r="Y32" s="45">
        <f>C32+C66</f>
        <v>56</v>
      </c>
      <c r="Z32" s="45">
        <f>D32+D66</f>
        <v>50</v>
      </c>
      <c r="AA32" s="45">
        <f>E32+E66</f>
        <v>33</v>
      </c>
      <c r="AB32" s="45">
        <f>F32+F66</f>
        <v>46</v>
      </c>
      <c r="AC32" s="45">
        <f>G32+G66</f>
        <v>45</v>
      </c>
      <c r="AD32" s="45">
        <f>H32+H66</f>
        <v>159</v>
      </c>
      <c r="AE32" s="45">
        <f>I32+I66</f>
        <v>0</v>
      </c>
      <c r="AF32" s="45">
        <f>J32+J66</f>
        <v>466</v>
      </c>
      <c r="AG32" s="45">
        <f>K32+K66</f>
        <v>108</v>
      </c>
      <c r="AH32" s="45">
        <f>L32+L66</f>
        <v>0</v>
      </c>
      <c r="AI32" s="45">
        <f>M32+M66</f>
        <v>12</v>
      </c>
      <c r="AJ32" s="45">
        <f>N32+N66</f>
        <v>5</v>
      </c>
      <c r="AK32" s="45">
        <f>O32+O66</f>
        <v>2</v>
      </c>
      <c r="AL32" s="45">
        <f>P32+P66</f>
        <v>0</v>
      </c>
      <c r="AM32" s="45">
        <f>Q32+Q66</f>
        <v>1122</v>
      </c>
      <c r="AN32" s="45">
        <f>R32+R66</f>
        <v>345</v>
      </c>
      <c r="AO32" s="45">
        <f>S32+S66</f>
        <v>1467</v>
      </c>
      <c r="AP32" s="45">
        <f>T32+T66</f>
        <v>7</v>
      </c>
      <c r="AQ32" s="45">
        <f>U32+U66</f>
        <v>1467</v>
      </c>
      <c r="AR32" s="45">
        <f>V32+V66</f>
        <v>2142.5</v>
      </c>
    </row>
    <row r="33" spans="1:44" x14ac:dyDescent="0.3">
      <c r="A33" s="62" t="str">
        <f>'Day-5'!A33</f>
        <v>11:00-12:00</v>
      </c>
      <c r="B33" s="108">
        <v>209</v>
      </c>
      <c r="C33" s="140">
        <v>24</v>
      </c>
      <c r="D33" s="108">
        <v>29</v>
      </c>
      <c r="E33" s="108">
        <v>16</v>
      </c>
      <c r="F33" s="108">
        <v>18</v>
      </c>
      <c r="G33" s="108">
        <v>24</v>
      </c>
      <c r="H33" s="108">
        <v>75</v>
      </c>
      <c r="I33" s="108">
        <v>0</v>
      </c>
      <c r="J33" s="108">
        <v>210</v>
      </c>
      <c r="K33" s="108">
        <v>40</v>
      </c>
      <c r="L33" s="108">
        <v>2</v>
      </c>
      <c r="M33" s="108">
        <v>6</v>
      </c>
      <c r="N33" s="108">
        <v>0</v>
      </c>
      <c r="O33" s="108">
        <v>0</v>
      </c>
      <c r="P33" s="108">
        <v>0</v>
      </c>
      <c r="Q33" s="66">
        <f t="shared" si="2"/>
        <v>483</v>
      </c>
      <c r="R33" s="59">
        <f t="shared" si="3"/>
        <v>170</v>
      </c>
      <c r="S33" s="59">
        <f t="shared" si="0"/>
        <v>653</v>
      </c>
      <c r="T33" s="59">
        <f t="shared" si="4"/>
        <v>0</v>
      </c>
      <c r="U33" s="59">
        <f t="shared" si="5"/>
        <v>653</v>
      </c>
      <c r="V33" s="60">
        <f t="shared" si="6"/>
        <v>972.5</v>
      </c>
      <c r="W33" s="47" t="str">
        <f t="shared" si="1"/>
        <v>11:00-12:00</v>
      </c>
      <c r="X33" s="45">
        <f>B33+B67</f>
        <v>409</v>
      </c>
      <c r="Y33" s="45">
        <f>C33+C67</f>
        <v>42</v>
      </c>
      <c r="Z33" s="45">
        <f>D33+D67</f>
        <v>52</v>
      </c>
      <c r="AA33" s="45">
        <f>E33+E67</f>
        <v>38</v>
      </c>
      <c r="AB33" s="45">
        <f>F33+F67</f>
        <v>34</v>
      </c>
      <c r="AC33" s="45">
        <f>G33+G67</f>
        <v>49</v>
      </c>
      <c r="AD33" s="45">
        <f>H33+H67</f>
        <v>135</v>
      </c>
      <c r="AE33" s="45">
        <f>I33+I67</f>
        <v>0</v>
      </c>
      <c r="AF33" s="45">
        <f>J33+J67</f>
        <v>419</v>
      </c>
      <c r="AG33" s="45">
        <f>K33+K67</f>
        <v>87</v>
      </c>
      <c r="AH33" s="45">
        <f>L33+L67</f>
        <v>4</v>
      </c>
      <c r="AI33" s="45">
        <f>M33+M67</f>
        <v>11</v>
      </c>
      <c r="AJ33" s="45">
        <f>N33+N67</f>
        <v>0</v>
      </c>
      <c r="AK33" s="45">
        <f>O33+O67</f>
        <v>0</v>
      </c>
      <c r="AL33" s="45">
        <f>P33+P67</f>
        <v>0</v>
      </c>
      <c r="AM33" s="45">
        <f>Q33+Q67</f>
        <v>957</v>
      </c>
      <c r="AN33" s="45">
        <f>R33+R67</f>
        <v>323</v>
      </c>
      <c r="AO33" s="45">
        <f>S33+S67</f>
        <v>1280</v>
      </c>
      <c r="AP33" s="45">
        <f>T33+T67</f>
        <v>0</v>
      </c>
      <c r="AQ33" s="45">
        <f>U33+U67</f>
        <v>1280</v>
      </c>
      <c r="AR33" s="45">
        <f>V33+V67</f>
        <v>1852.5</v>
      </c>
    </row>
    <row r="34" spans="1:44" x14ac:dyDescent="0.3">
      <c r="A34" s="48" t="s">
        <v>23</v>
      </c>
      <c r="B34" s="146">
        <f>SUM(B10:B33)</f>
        <v>2968</v>
      </c>
      <c r="C34" s="94">
        <f>SUM(C10:C33)</f>
        <v>466</v>
      </c>
      <c r="D34" s="146">
        <f t="shared" ref="D34:V34" si="7">SUM(D10:D33)</f>
        <v>433</v>
      </c>
      <c r="E34" s="110">
        <f t="shared" si="7"/>
        <v>563</v>
      </c>
      <c r="F34" s="146">
        <f t="shared" si="7"/>
        <v>442</v>
      </c>
      <c r="G34" s="146">
        <f t="shared" si="7"/>
        <v>527</v>
      </c>
      <c r="H34" s="146">
        <f t="shared" si="7"/>
        <v>1782</v>
      </c>
      <c r="I34" s="146">
        <f t="shared" si="7"/>
        <v>0</v>
      </c>
      <c r="J34" s="146">
        <f t="shared" si="7"/>
        <v>3150</v>
      </c>
      <c r="K34" s="146">
        <f t="shared" si="7"/>
        <v>670</v>
      </c>
      <c r="L34" s="146">
        <f t="shared" si="7"/>
        <v>13</v>
      </c>
      <c r="M34" s="146">
        <f t="shared" si="7"/>
        <v>72</v>
      </c>
      <c r="N34" s="146">
        <f t="shared" si="7"/>
        <v>2</v>
      </c>
      <c r="O34" s="146">
        <f t="shared" si="7"/>
        <v>2</v>
      </c>
      <c r="P34" s="146">
        <f t="shared" si="7"/>
        <v>2</v>
      </c>
      <c r="Q34" s="107">
        <f t="shared" si="7"/>
        <v>7258</v>
      </c>
      <c r="R34" s="30">
        <f t="shared" si="7"/>
        <v>3834</v>
      </c>
      <c r="S34" s="31">
        <f t="shared" si="7"/>
        <v>11092</v>
      </c>
      <c r="T34" s="30">
        <f t="shared" si="7"/>
        <v>4</v>
      </c>
      <c r="U34" s="31">
        <f t="shared" si="7"/>
        <v>11092</v>
      </c>
      <c r="V34" s="31">
        <f t="shared" si="7"/>
        <v>19172</v>
      </c>
      <c r="W34" s="48" t="s">
        <v>23</v>
      </c>
      <c r="X34" s="30">
        <f>SUM(X10:X33)</f>
        <v>5671</v>
      </c>
      <c r="Y34" s="30">
        <f t="shared" ref="Y34:AR34" si="8">SUM(Y10:Y33)</f>
        <v>958</v>
      </c>
      <c r="Z34" s="30">
        <f t="shared" si="8"/>
        <v>862</v>
      </c>
      <c r="AA34" s="30">
        <f t="shared" si="8"/>
        <v>978</v>
      </c>
      <c r="AB34" s="30">
        <f t="shared" si="8"/>
        <v>1005</v>
      </c>
      <c r="AC34" s="30">
        <f t="shared" si="8"/>
        <v>1100</v>
      </c>
      <c r="AD34" s="30">
        <f t="shared" si="8"/>
        <v>3627</v>
      </c>
      <c r="AE34" s="30">
        <f t="shared" si="8"/>
        <v>0</v>
      </c>
      <c r="AF34" s="30">
        <f t="shared" si="8"/>
        <v>6535</v>
      </c>
      <c r="AG34" s="30">
        <f t="shared" si="8"/>
        <v>1262</v>
      </c>
      <c r="AH34" s="30">
        <f t="shared" si="8"/>
        <v>15</v>
      </c>
      <c r="AI34" s="30">
        <f t="shared" si="8"/>
        <v>150</v>
      </c>
      <c r="AJ34" s="30">
        <f t="shared" si="8"/>
        <v>16</v>
      </c>
      <c r="AK34" s="30">
        <f t="shared" si="8"/>
        <v>2</v>
      </c>
      <c r="AL34" s="30">
        <f t="shared" si="8"/>
        <v>14</v>
      </c>
      <c r="AM34" s="30">
        <f t="shared" si="8"/>
        <v>14444</v>
      </c>
      <c r="AN34" s="30">
        <f t="shared" si="8"/>
        <v>7751</v>
      </c>
      <c r="AO34" s="30">
        <f t="shared" si="8"/>
        <v>22195</v>
      </c>
      <c r="AP34" s="30">
        <f t="shared" si="8"/>
        <v>18</v>
      </c>
      <c r="AQ34" s="30">
        <f t="shared" si="8"/>
        <v>22195</v>
      </c>
      <c r="AR34" s="31">
        <f t="shared" si="8"/>
        <v>38812.5</v>
      </c>
    </row>
    <row r="35" spans="1:44" x14ac:dyDescent="0.3">
      <c r="E35" s="109"/>
    </row>
    <row r="38" spans="1:44" x14ac:dyDescent="0.3">
      <c r="A38" s="150" t="s">
        <v>28</v>
      </c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</row>
    <row r="39" spans="1:44" x14ac:dyDescent="0.3">
      <c r="A39" s="143" t="str">
        <f>A5</f>
        <v>Location:</v>
      </c>
      <c r="B39" s="153" t="str">
        <f>B5</f>
        <v>Nathavalasa Toll Plaza</v>
      </c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5"/>
      <c r="Q39" s="143" t="str">
        <f>Q5</f>
        <v>Date:</v>
      </c>
      <c r="R39" s="156">
        <f>R5</f>
        <v>45237</v>
      </c>
      <c r="S39" s="157"/>
      <c r="T39" s="157"/>
      <c r="U39" s="157"/>
      <c r="V39" s="158"/>
    </row>
    <row r="40" spans="1:44" x14ac:dyDescent="0.3">
      <c r="A40" s="144" t="s">
        <v>205</v>
      </c>
      <c r="B40" s="153" t="str">
        <f>'Day-5'!B40:V40</f>
        <v>Anandapuram to Ranasthalam</v>
      </c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5"/>
    </row>
    <row r="41" spans="1:44" x14ac:dyDescent="0.3">
      <c r="A41" s="14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1" t="s">
        <v>2</v>
      </c>
      <c r="B42" s="171" t="s">
        <v>80</v>
      </c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0" t="s">
        <v>165</v>
      </c>
      <c r="O42" s="170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2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 t="shared" ref="A44:A67" si="9">A10</f>
        <v>12:00-13:00</v>
      </c>
      <c r="B44" s="108">
        <v>113</v>
      </c>
      <c r="C44" s="140">
        <v>23</v>
      </c>
      <c r="D44" s="108">
        <v>16</v>
      </c>
      <c r="E44" s="108">
        <v>19</v>
      </c>
      <c r="F44" s="108">
        <v>25</v>
      </c>
      <c r="G44" s="108">
        <v>14</v>
      </c>
      <c r="H44" s="108">
        <v>52</v>
      </c>
      <c r="I44" s="108">
        <v>0</v>
      </c>
      <c r="J44" s="108">
        <v>186</v>
      </c>
      <c r="K44" s="108">
        <v>40</v>
      </c>
      <c r="L44" s="108">
        <v>0</v>
      </c>
      <c r="M44" s="108">
        <v>2</v>
      </c>
      <c r="N44" s="108">
        <v>0</v>
      </c>
      <c r="O44" s="108">
        <v>0</v>
      </c>
      <c r="P44" s="108">
        <v>0</v>
      </c>
      <c r="Q44" s="63">
        <f>B44+C44+J44+K44+N44+O44</f>
        <v>362</v>
      </c>
      <c r="R44" s="45">
        <f>D44+E44+F44+G44+H44+I44+L44+M44+P44</f>
        <v>128</v>
      </c>
      <c r="S44" s="45">
        <f t="shared" ref="S44:S67" si="10">Q44+R44</f>
        <v>490</v>
      </c>
      <c r="T44" s="45">
        <f>N44+O44</f>
        <v>0</v>
      </c>
      <c r="U44" s="45">
        <f>SUM(B44:P44)</f>
        <v>490</v>
      </c>
      <c r="V44" s="46">
        <f>SUMPRODUCT(B44:P44,$B$7:$P$7)</f>
        <v>719.5</v>
      </c>
    </row>
    <row r="45" spans="1:44" x14ac:dyDescent="0.3">
      <c r="A45" s="62" t="str">
        <f t="shared" si="9"/>
        <v>13:00-14:00</v>
      </c>
      <c r="B45" s="108">
        <v>97</v>
      </c>
      <c r="C45" s="140">
        <v>29</v>
      </c>
      <c r="D45" s="108">
        <v>31</v>
      </c>
      <c r="E45" s="108">
        <v>12</v>
      </c>
      <c r="F45" s="108">
        <v>27</v>
      </c>
      <c r="G45" s="108">
        <v>24</v>
      </c>
      <c r="H45" s="108">
        <v>56</v>
      </c>
      <c r="I45" s="108">
        <v>0</v>
      </c>
      <c r="J45" s="108">
        <v>195</v>
      </c>
      <c r="K45" s="108">
        <v>27</v>
      </c>
      <c r="L45" s="108">
        <v>0</v>
      </c>
      <c r="M45" s="108">
        <v>5</v>
      </c>
      <c r="N45" s="108">
        <v>3</v>
      </c>
      <c r="O45" s="108">
        <v>0</v>
      </c>
      <c r="P45" s="108">
        <v>0</v>
      </c>
      <c r="Q45" s="63">
        <f t="shared" ref="Q45:Q67" si="11">B45+C45+J45+K45+N45+O45</f>
        <v>351</v>
      </c>
      <c r="R45" s="45">
        <f t="shared" ref="R45:R67" si="12">D45+E45+F45+G45+H45+I45+L45+M45+P45</f>
        <v>155</v>
      </c>
      <c r="S45" s="45">
        <f t="shared" si="10"/>
        <v>506</v>
      </c>
      <c r="T45" s="45">
        <f t="shared" ref="T45:T67" si="13">N45+O45</f>
        <v>3</v>
      </c>
      <c r="U45" s="45">
        <f t="shared" ref="U45:U67" si="14">SUM(B45:P45)</f>
        <v>506</v>
      </c>
      <c r="V45" s="46">
        <f t="shared" ref="V45:V67" si="15">SUMPRODUCT(B45:P45,$B$7:$P$7)</f>
        <v>786.5</v>
      </c>
    </row>
    <row r="46" spans="1:44" x14ac:dyDescent="0.3">
      <c r="A46" s="62" t="str">
        <f t="shared" si="9"/>
        <v>14:00-15:00</v>
      </c>
      <c r="B46" s="108">
        <v>123</v>
      </c>
      <c r="C46" s="140">
        <v>21</v>
      </c>
      <c r="D46" s="108">
        <v>24</v>
      </c>
      <c r="E46" s="108">
        <v>13</v>
      </c>
      <c r="F46" s="108">
        <v>34</v>
      </c>
      <c r="G46" s="108">
        <v>27</v>
      </c>
      <c r="H46" s="108">
        <v>65</v>
      </c>
      <c r="I46" s="108">
        <v>0</v>
      </c>
      <c r="J46" s="108">
        <v>162</v>
      </c>
      <c r="K46" s="108">
        <v>31</v>
      </c>
      <c r="L46" s="108">
        <v>0</v>
      </c>
      <c r="M46" s="108">
        <v>4</v>
      </c>
      <c r="N46" s="108">
        <v>0</v>
      </c>
      <c r="O46" s="108">
        <v>0</v>
      </c>
      <c r="P46" s="108">
        <v>0</v>
      </c>
      <c r="Q46" s="63">
        <f t="shared" si="11"/>
        <v>337</v>
      </c>
      <c r="R46" s="45">
        <f t="shared" si="12"/>
        <v>167</v>
      </c>
      <c r="S46" s="45">
        <f t="shared" si="10"/>
        <v>504</v>
      </c>
      <c r="T46" s="45">
        <f t="shared" si="13"/>
        <v>0</v>
      </c>
      <c r="U46" s="45">
        <f t="shared" si="14"/>
        <v>504</v>
      </c>
      <c r="V46" s="46">
        <f t="shared" si="15"/>
        <v>835</v>
      </c>
    </row>
    <row r="47" spans="1:44" x14ac:dyDescent="0.3">
      <c r="A47" s="62" t="str">
        <f t="shared" si="9"/>
        <v>15:00-16:00</v>
      </c>
      <c r="B47" s="108">
        <v>145</v>
      </c>
      <c r="C47" s="141">
        <v>28</v>
      </c>
      <c r="D47" s="108">
        <v>31</v>
      </c>
      <c r="E47" s="108">
        <v>14</v>
      </c>
      <c r="F47" s="108">
        <v>31</v>
      </c>
      <c r="G47" s="108">
        <v>13</v>
      </c>
      <c r="H47" s="108">
        <v>84</v>
      </c>
      <c r="I47" s="108">
        <v>0</v>
      </c>
      <c r="J47" s="108">
        <v>183</v>
      </c>
      <c r="K47" s="108">
        <v>31</v>
      </c>
      <c r="L47" s="108">
        <v>0</v>
      </c>
      <c r="M47" s="108">
        <v>4</v>
      </c>
      <c r="N47" s="108">
        <v>0</v>
      </c>
      <c r="O47" s="108">
        <v>0</v>
      </c>
      <c r="P47" s="108">
        <v>0</v>
      </c>
      <c r="Q47" s="63">
        <f t="shared" si="11"/>
        <v>387</v>
      </c>
      <c r="R47" s="45">
        <f t="shared" si="12"/>
        <v>177</v>
      </c>
      <c r="S47" s="45">
        <f t="shared" si="10"/>
        <v>564</v>
      </c>
      <c r="T47" s="45">
        <f t="shared" si="13"/>
        <v>0</v>
      </c>
      <c r="U47" s="45">
        <f t="shared" si="14"/>
        <v>564</v>
      </c>
      <c r="V47" s="46">
        <f t="shared" si="15"/>
        <v>931.5</v>
      </c>
    </row>
    <row r="48" spans="1:44" x14ac:dyDescent="0.3">
      <c r="A48" s="62" t="str">
        <f t="shared" si="9"/>
        <v>16:00-17:00</v>
      </c>
      <c r="B48" s="108">
        <v>179</v>
      </c>
      <c r="C48" s="141">
        <v>28</v>
      </c>
      <c r="D48" s="108">
        <v>21</v>
      </c>
      <c r="E48" s="108">
        <v>29</v>
      </c>
      <c r="F48" s="108">
        <v>31</v>
      </c>
      <c r="G48" s="108">
        <v>25</v>
      </c>
      <c r="H48" s="108">
        <v>91</v>
      </c>
      <c r="I48" s="108">
        <v>0</v>
      </c>
      <c r="J48" s="108">
        <v>164</v>
      </c>
      <c r="K48" s="108">
        <v>43</v>
      </c>
      <c r="L48" s="108">
        <v>0</v>
      </c>
      <c r="M48" s="108">
        <v>3</v>
      </c>
      <c r="N48" s="108">
        <v>0</v>
      </c>
      <c r="O48" s="108">
        <v>0</v>
      </c>
      <c r="P48" s="108">
        <v>0</v>
      </c>
      <c r="Q48" s="63">
        <f t="shared" si="11"/>
        <v>414</v>
      </c>
      <c r="R48" s="45">
        <f t="shared" si="12"/>
        <v>200</v>
      </c>
      <c r="S48" s="45">
        <f t="shared" si="10"/>
        <v>614</v>
      </c>
      <c r="T48" s="45">
        <f t="shared" si="13"/>
        <v>0</v>
      </c>
      <c r="U48" s="45">
        <f t="shared" si="14"/>
        <v>614</v>
      </c>
      <c r="V48" s="46">
        <f t="shared" si="15"/>
        <v>1043.5</v>
      </c>
    </row>
    <row r="49" spans="1:22" x14ac:dyDescent="0.3">
      <c r="A49" s="62" t="str">
        <f t="shared" si="9"/>
        <v>17:00-18:00</v>
      </c>
      <c r="B49" s="108">
        <v>216</v>
      </c>
      <c r="C49" s="141">
        <v>32</v>
      </c>
      <c r="D49" s="108">
        <v>21</v>
      </c>
      <c r="E49" s="108">
        <v>11</v>
      </c>
      <c r="F49" s="108">
        <v>13</v>
      </c>
      <c r="G49" s="108">
        <v>25</v>
      </c>
      <c r="H49" s="108">
        <v>70</v>
      </c>
      <c r="I49" s="108">
        <v>0</v>
      </c>
      <c r="J49" s="108">
        <v>215</v>
      </c>
      <c r="K49" s="108">
        <v>42</v>
      </c>
      <c r="L49" s="108">
        <v>0</v>
      </c>
      <c r="M49" s="108">
        <v>6</v>
      </c>
      <c r="N49" s="108">
        <v>0</v>
      </c>
      <c r="O49" s="108">
        <v>0</v>
      </c>
      <c r="P49" s="108">
        <v>0</v>
      </c>
      <c r="Q49" s="63">
        <f t="shared" si="11"/>
        <v>505</v>
      </c>
      <c r="R49" s="45">
        <f t="shared" si="12"/>
        <v>146</v>
      </c>
      <c r="S49" s="45">
        <f t="shared" si="10"/>
        <v>651</v>
      </c>
      <c r="T49" s="45">
        <f t="shared" si="13"/>
        <v>0</v>
      </c>
      <c r="U49" s="45">
        <f t="shared" si="14"/>
        <v>651</v>
      </c>
      <c r="V49" s="46">
        <f t="shared" si="15"/>
        <v>955</v>
      </c>
    </row>
    <row r="50" spans="1:22" x14ac:dyDescent="0.3">
      <c r="A50" s="62" t="str">
        <f t="shared" si="9"/>
        <v>18:00-19:00</v>
      </c>
      <c r="B50" s="108">
        <v>170</v>
      </c>
      <c r="C50" s="140">
        <v>19</v>
      </c>
      <c r="D50" s="108">
        <v>14</v>
      </c>
      <c r="E50" s="108">
        <v>27</v>
      </c>
      <c r="F50" s="108">
        <v>33</v>
      </c>
      <c r="G50" s="108">
        <v>30</v>
      </c>
      <c r="H50" s="108">
        <v>55</v>
      </c>
      <c r="I50" s="108">
        <v>0</v>
      </c>
      <c r="J50" s="108">
        <v>255</v>
      </c>
      <c r="K50" s="108">
        <v>63</v>
      </c>
      <c r="L50" s="108">
        <v>0</v>
      </c>
      <c r="M50" s="108">
        <v>7</v>
      </c>
      <c r="N50" s="108">
        <v>2</v>
      </c>
      <c r="O50" s="108">
        <v>0</v>
      </c>
      <c r="P50" s="108">
        <v>0</v>
      </c>
      <c r="Q50" s="63">
        <f t="shared" si="11"/>
        <v>509</v>
      </c>
      <c r="R50" s="45">
        <f t="shared" si="12"/>
        <v>166</v>
      </c>
      <c r="S50" s="45">
        <f t="shared" si="10"/>
        <v>675</v>
      </c>
      <c r="T50" s="45">
        <f t="shared" si="13"/>
        <v>2</v>
      </c>
      <c r="U50" s="45">
        <f t="shared" si="14"/>
        <v>675</v>
      </c>
      <c r="V50" s="46">
        <f t="shared" si="15"/>
        <v>941</v>
      </c>
    </row>
    <row r="51" spans="1:22" x14ac:dyDescent="0.3">
      <c r="A51" s="62" t="str">
        <f t="shared" si="9"/>
        <v>19:00-20:00</v>
      </c>
      <c r="B51" s="108">
        <v>163</v>
      </c>
      <c r="C51" s="140">
        <v>21</v>
      </c>
      <c r="D51" s="108">
        <v>18</v>
      </c>
      <c r="E51" s="108">
        <v>26</v>
      </c>
      <c r="F51" s="108">
        <v>30</v>
      </c>
      <c r="G51" s="108">
        <v>14</v>
      </c>
      <c r="H51" s="108">
        <v>62</v>
      </c>
      <c r="I51" s="108">
        <v>0</v>
      </c>
      <c r="J51" s="108">
        <v>217</v>
      </c>
      <c r="K51" s="108">
        <v>32</v>
      </c>
      <c r="L51" s="108">
        <v>0</v>
      </c>
      <c r="M51" s="108">
        <v>5</v>
      </c>
      <c r="N51" s="108">
        <v>0</v>
      </c>
      <c r="O51" s="108">
        <v>0</v>
      </c>
      <c r="P51" s="108">
        <v>0</v>
      </c>
      <c r="Q51" s="63">
        <f t="shared" si="11"/>
        <v>433</v>
      </c>
      <c r="R51" s="45">
        <f t="shared" si="12"/>
        <v>155</v>
      </c>
      <c r="S51" s="45">
        <f t="shared" si="10"/>
        <v>588</v>
      </c>
      <c r="T51" s="45">
        <f t="shared" si="13"/>
        <v>0</v>
      </c>
      <c r="U51" s="45">
        <f t="shared" si="14"/>
        <v>588</v>
      </c>
      <c r="V51" s="46">
        <f t="shared" si="15"/>
        <v>857</v>
      </c>
    </row>
    <row r="52" spans="1:22" x14ac:dyDescent="0.3">
      <c r="A52" s="62" t="str">
        <f t="shared" si="9"/>
        <v>20:00-21:00</v>
      </c>
      <c r="B52" s="108">
        <v>117</v>
      </c>
      <c r="C52" s="140">
        <v>17</v>
      </c>
      <c r="D52" s="108">
        <v>14</v>
      </c>
      <c r="E52" s="108">
        <v>19</v>
      </c>
      <c r="F52" s="108">
        <v>29</v>
      </c>
      <c r="G52" s="108">
        <v>14</v>
      </c>
      <c r="H52" s="108">
        <v>65</v>
      </c>
      <c r="I52" s="108">
        <v>0</v>
      </c>
      <c r="J52" s="108">
        <v>165</v>
      </c>
      <c r="K52" s="108">
        <v>9</v>
      </c>
      <c r="L52" s="108">
        <v>0</v>
      </c>
      <c r="M52" s="108">
        <v>4</v>
      </c>
      <c r="N52" s="108">
        <v>0</v>
      </c>
      <c r="O52" s="108">
        <v>0</v>
      </c>
      <c r="P52" s="108">
        <v>2</v>
      </c>
      <c r="Q52" s="63">
        <f t="shared" si="11"/>
        <v>308</v>
      </c>
      <c r="R52" s="45">
        <f t="shared" si="12"/>
        <v>147</v>
      </c>
      <c r="S52" s="45">
        <f t="shared" si="10"/>
        <v>455</v>
      </c>
      <c r="T52" s="45">
        <f t="shared" si="13"/>
        <v>0</v>
      </c>
      <c r="U52" s="45">
        <f t="shared" si="14"/>
        <v>455</v>
      </c>
      <c r="V52" s="46">
        <f t="shared" si="15"/>
        <v>750.5</v>
      </c>
    </row>
    <row r="53" spans="1:22" x14ac:dyDescent="0.3">
      <c r="A53" s="62" t="str">
        <f t="shared" si="9"/>
        <v>21:00-22:00</v>
      </c>
      <c r="B53" s="108">
        <v>89</v>
      </c>
      <c r="C53" s="142">
        <v>24</v>
      </c>
      <c r="D53" s="108">
        <v>21</v>
      </c>
      <c r="E53" s="108">
        <v>17</v>
      </c>
      <c r="F53" s="108">
        <v>14</v>
      </c>
      <c r="G53" s="108">
        <v>25</v>
      </c>
      <c r="H53" s="108">
        <v>59</v>
      </c>
      <c r="I53" s="108">
        <v>0</v>
      </c>
      <c r="J53" s="108">
        <v>136</v>
      </c>
      <c r="K53" s="108">
        <v>9</v>
      </c>
      <c r="L53" s="108">
        <v>0</v>
      </c>
      <c r="M53" s="108">
        <v>3</v>
      </c>
      <c r="N53" s="108">
        <v>0</v>
      </c>
      <c r="O53" s="108">
        <v>0</v>
      </c>
      <c r="P53" s="108">
        <v>0</v>
      </c>
      <c r="Q53" s="66">
        <f t="shared" si="11"/>
        <v>258</v>
      </c>
      <c r="R53" s="59">
        <f t="shared" si="12"/>
        <v>139</v>
      </c>
      <c r="S53" s="59">
        <f t="shared" si="10"/>
        <v>397</v>
      </c>
      <c r="T53" s="59">
        <f t="shared" si="13"/>
        <v>0</v>
      </c>
      <c r="U53" s="59">
        <f t="shared" si="14"/>
        <v>397</v>
      </c>
      <c r="V53" s="60">
        <f t="shared" si="15"/>
        <v>680.5</v>
      </c>
    </row>
    <row r="54" spans="1:22" x14ac:dyDescent="0.3">
      <c r="A54" s="62" t="str">
        <f t="shared" si="9"/>
        <v>22:00-23:00</v>
      </c>
      <c r="B54" s="108">
        <v>88</v>
      </c>
      <c r="C54" s="140">
        <v>10</v>
      </c>
      <c r="D54" s="108">
        <v>17</v>
      </c>
      <c r="E54" s="108">
        <v>19</v>
      </c>
      <c r="F54" s="108">
        <v>21</v>
      </c>
      <c r="G54" s="108">
        <v>12</v>
      </c>
      <c r="H54" s="108">
        <v>60</v>
      </c>
      <c r="I54" s="108">
        <v>0</v>
      </c>
      <c r="J54" s="108">
        <v>61</v>
      </c>
      <c r="K54" s="108">
        <v>4</v>
      </c>
      <c r="L54" s="108">
        <v>0</v>
      </c>
      <c r="M54" s="108">
        <v>0</v>
      </c>
      <c r="N54" s="108">
        <v>0</v>
      </c>
      <c r="O54" s="108">
        <v>0</v>
      </c>
      <c r="P54" s="108">
        <v>0</v>
      </c>
      <c r="Q54" s="66">
        <f t="shared" si="11"/>
        <v>163</v>
      </c>
      <c r="R54" s="59">
        <f t="shared" si="12"/>
        <v>129</v>
      </c>
      <c r="S54" s="59">
        <f t="shared" si="10"/>
        <v>292</v>
      </c>
      <c r="T54" s="59">
        <f t="shared" si="13"/>
        <v>0</v>
      </c>
      <c r="U54" s="59">
        <f t="shared" si="14"/>
        <v>292</v>
      </c>
      <c r="V54" s="60">
        <f t="shared" si="15"/>
        <v>567</v>
      </c>
    </row>
    <row r="55" spans="1:22" x14ac:dyDescent="0.3">
      <c r="A55" s="62" t="str">
        <f t="shared" si="9"/>
        <v>23:00-00:00</v>
      </c>
      <c r="B55" s="108">
        <v>72</v>
      </c>
      <c r="C55" s="140">
        <v>8</v>
      </c>
      <c r="D55" s="108">
        <v>16</v>
      </c>
      <c r="E55" s="108">
        <v>14</v>
      </c>
      <c r="F55" s="108">
        <v>22</v>
      </c>
      <c r="G55" s="108">
        <v>21</v>
      </c>
      <c r="H55" s="108">
        <v>95</v>
      </c>
      <c r="I55" s="108">
        <v>0</v>
      </c>
      <c r="J55" s="108">
        <v>43</v>
      </c>
      <c r="K55" s="108">
        <v>4</v>
      </c>
      <c r="L55" s="108">
        <v>0</v>
      </c>
      <c r="M55" s="108">
        <v>2</v>
      </c>
      <c r="N55" s="108">
        <v>2</v>
      </c>
      <c r="O55" s="108">
        <v>0</v>
      </c>
      <c r="P55" s="108">
        <v>0</v>
      </c>
      <c r="Q55" s="66">
        <f t="shared" si="11"/>
        <v>129</v>
      </c>
      <c r="R55" s="59">
        <f t="shared" si="12"/>
        <v>170</v>
      </c>
      <c r="S55" s="59">
        <f t="shared" si="10"/>
        <v>299</v>
      </c>
      <c r="T55" s="59">
        <f t="shared" si="13"/>
        <v>2</v>
      </c>
      <c r="U55" s="59">
        <f t="shared" si="14"/>
        <v>299</v>
      </c>
      <c r="V55" s="60">
        <f t="shared" si="15"/>
        <v>725</v>
      </c>
    </row>
    <row r="56" spans="1:22" x14ac:dyDescent="0.3">
      <c r="A56" s="62" t="str">
        <f t="shared" si="9"/>
        <v>00:00-01:00</v>
      </c>
      <c r="B56" s="108">
        <v>33</v>
      </c>
      <c r="C56" s="140">
        <v>3</v>
      </c>
      <c r="D56" s="108">
        <v>9</v>
      </c>
      <c r="E56" s="108">
        <v>18</v>
      </c>
      <c r="F56" s="108">
        <v>18</v>
      </c>
      <c r="G56" s="108">
        <v>21</v>
      </c>
      <c r="H56" s="108">
        <v>127</v>
      </c>
      <c r="I56" s="108">
        <v>0</v>
      </c>
      <c r="J56" s="108">
        <v>24</v>
      </c>
      <c r="K56" s="108">
        <v>3</v>
      </c>
      <c r="L56" s="108">
        <v>0</v>
      </c>
      <c r="M56" s="108">
        <v>0</v>
      </c>
      <c r="N56" s="108">
        <v>0</v>
      </c>
      <c r="O56" s="108">
        <v>0</v>
      </c>
      <c r="P56" s="108">
        <v>2</v>
      </c>
      <c r="Q56" s="66">
        <f t="shared" si="11"/>
        <v>63</v>
      </c>
      <c r="R56" s="59">
        <f t="shared" si="12"/>
        <v>195</v>
      </c>
      <c r="S56" s="59">
        <f t="shared" si="10"/>
        <v>258</v>
      </c>
      <c r="T56" s="59">
        <f t="shared" si="13"/>
        <v>0</v>
      </c>
      <c r="U56" s="59">
        <f t="shared" si="14"/>
        <v>258</v>
      </c>
      <c r="V56" s="60">
        <f t="shared" si="15"/>
        <v>790.5</v>
      </c>
    </row>
    <row r="57" spans="1:22" x14ac:dyDescent="0.3">
      <c r="A57" s="62" t="str">
        <f t="shared" si="9"/>
        <v>01:00-02:00</v>
      </c>
      <c r="B57" s="108">
        <v>13</v>
      </c>
      <c r="C57" s="140">
        <v>3</v>
      </c>
      <c r="D57" s="108">
        <v>9</v>
      </c>
      <c r="E57" s="108">
        <v>10</v>
      </c>
      <c r="F57" s="108">
        <v>18</v>
      </c>
      <c r="G57" s="108">
        <v>19</v>
      </c>
      <c r="H57" s="108">
        <v>76</v>
      </c>
      <c r="I57" s="108">
        <v>0</v>
      </c>
      <c r="J57" s="108">
        <v>8</v>
      </c>
      <c r="K57" s="108">
        <v>0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6">
        <f t="shared" si="11"/>
        <v>24</v>
      </c>
      <c r="R57" s="59">
        <f t="shared" si="12"/>
        <v>132</v>
      </c>
      <c r="S57" s="59">
        <f t="shared" si="10"/>
        <v>156</v>
      </c>
      <c r="T57" s="59">
        <f t="shared" si="13"/>
        <v>0</v>
      </c>
      <c r="U57" s="59">
        <f t="shared" si="14"/>
        <v>156</v>
      </c>
      <c r="V57" s="60">
        <f t="shared" si="15"/>
        <v>503</v>
      </c>
    </row>
    <row r="58" spans="1:22" x14ac:dyDescent="0.3">
      <c r="A58" s="62" t="str">
        <f t="shared" si="9"/>
        <v>02:00-03:00</v>
      </c>
      <c r="B58" s="108">
        <v>18</v>
      </c>
      <c r="C58" s="140">
        <v>10</v>
      </c>
      <c r="D58" s="108">
        <v>11</v>
      </c>
      <c r="E58" s="108">
        <v>21</v>
      </c>
      <c r="F58" s="108">
        <v>17</v>
      </c>
      <c r="G58" s="108">
        <v>13</v>
      </c>
      <c r="H58" s="108">
        <v>74</v>
      </c>
      <c r="I58" s="108">
        <v>0</v>
      </c>
      <c r="J58" s="108">
        <v>8</v>
      </c>
      <c r="K58" s="108">
        <v>0</v>
      </c>
      <c r="L58" s="108">
        <v>0</v>
      </c>
      <c r="M58" s="108">
        <v>2</v>
      </c>
      <c r="N58" s="108">
        <v>0</v>
      </c>
      <c r="O58" s="108">
        <v>0</v>
      </c>
      <c r="P58" s="108">
        <v>2</v>
      </c>
      <c r="Q58" s="66">
        <f t="shared" si="11"/>
        <v>36</v>
      </c>
      <c r="R58" s="59">
        <f t="shared" si="12"/>
        <v>140</v>
      </c>
      <c r="S58" s="59">
        <f t="shared" si="10"/>
        <v>176</v>
      </c>
      <c r="T58" s="59">
        <f t="shared" si="13"/>
        <v>0</v>
      </c>
      <c r="U58" s="59">
        <f t="shared" si="14"/>
        <v>176</v>
      </c>
      <c r="V58" s="60">
        <f t="shared" si="15"/>
        <v>535.5</v>
      </c>
    </row>
    <row r="59" spans="1:22" x14ac:dyDescent="0.3">
      <c r="A59" s="62" t="str">
        <f t="shared" si="9"/>
        <v>03:00-04:00</v>
      </c>
      <c r="B59" s="108">
        <v>19</v>
      </c>
      <c r="C59" s="140">
        <v>10</v>
      </c>
      <c r="D59" s="108">
        <v>14</v>
      </c>
      <c r="E59" s="108">
        <v>10</v>
      </c>
      <c r="F59" s="108">
        <v>13</v>
      </c>
      <c r="G59" s="108">
        <v>15</v>
      </c>
      <c r="H59" s="108">
        <v>66</v>
      </c>
      <c r="I59" s="108">
        <v>0</v>
      </c>
      <c r="J59" s="108">
        <v>15</v>
      </c>
      <c r="K59" s="108">
        <v>4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6">
        <f t="shared" si="11"/>
        <v>48</v>
      </c>
      <c r="R59" s="59">
        <f t="shared" si="12"/>
        <v>118</v>
      </c>
      <c r="S59" s="59">
        <f t="shared" si="10"/>
        <v>166</v>
      </c>
      <c r="T59" s="59">
        <f t="shared" si="13"/>
        <v>0</v>
      </c>
      <c r="U59" s="59">
        <f t="shared" si="14"/>
        <v>166</v>
      </c>
      <c r="V59" s="60">
        <f t="shared" si="15"/>
        <v>470.5</v>
      </c>
    </row>
    <row r="60" spans="1:22" x14ac:dyDescent="0.3">
      <c r="A60" s="62" t="str">
        <f t="shared" si="9"/>
        <v>04:00-05:00</v>
      </c>
      <c r="B60" s="108">
        <v>16</v>
      </c>
      <c r="C60" s="140">
        <v>6</v>
      </c>
      <c r="D60" s="108">
        <v>6</v>
      </c>
      <c r="E60" s="108">
        <v>13</v>
      </c>
      <c r="F60" s="108">
        <v>14</v>
      </c>
      <c r="G60" s="108">
        <v>22</v>
      </c>
      <c r="H60" s="108">
        <v>81</v>
      </c>
      <c r="I60" s="108">
        <v>0</v>
      </c>
      <c r="J60" s="108">
        <v>22</v>
      </c>
      <c r="K60" s="108">
        <v>5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66">
        <f t="shared" si="11"/>
        <v>49</v>
      </c>
      <c r="R60" s="59">
        <f t="shared" si="12"/>
        <v>136</v>
      </c>
      <c r="S60" s="59">
        <f t="shared" si="10"/>
        <v>185</v>
      </c>
      <c r="T60" s="59">
        <f t="shared" si="13"/>
        <v>0</v>
      </c>
      <c r="U60" s="59">
        <f t="shared" si="14"/>
        <v>185</v>
      </c>
      <c r="V60" s="60">
        <f t="shared" si="15"/>
        <v>548</v>
      </c>
    </row>
    <row r="61" spans="1:22" x14ac:dyDescent="0.3">
      <c r="A61" s="62" t="str">
        <f t="shared" si="9"/>
        <v>05:00-06:00</v>
      </c>
      <c r="B61" s="108">
        <v>46</v>
      </c>
      <c r="C61" s="140">
        <v>24</v>
      </c>
      <c r="D61" s="108">
        <v>9</v>
      </c>
      <c r="E61" s="108">
        <v>23</v>
      </c>
      <c r="F61" s="108">
        <v>31</v>
      </c>
      <c r="G61" s="108">
        <v>40</v>
      </c>
      <c r="H61" s="108">
        <v>83</v>
      </c>
      <c r="I61" s="108">
        <v>0</v>
      </c>
      <c r="J61" s="108">
        <v>81</v>
      </c>
      <c r="K61" s="108">
        <v>13</v>
      </c>
      <c r="L61" s="108">
        <v>0</v>
      </c>
      <c r="M61" s="108">
        <v>2</v>
      </c>
      <c r="N61" s="108">
        <v>0</v>
      </c>
      <c r="O61" s="108">
        <v>0</v>
      </c>
      <c r="P61" s="108">
        <v>0</v>
      </c>
      <c r="Q61" s="66">
        <f t="shared" si="11"/>
        <v>164</v>
      </c>
      <c r="R61" s="59">
        <f t="shared" si="12"/>
        <v>188</v>
      </c>
      <c r="S61" s="59">
        <f t="shared" si="10"/>
        <v>352</v>
      </c>
      <c r="T61" s="59">
        <f t="shared" si="13"/>
        <v>0</v>
      </c>
      <c r="U61" s="59">
        <f t="shared" si="14"/>
        <v>352</v>
      </c>
      <c r="V61" s="60">
        <f t="shared" si="15"/>
        <v>810.5</v>
      </c>
    </row>
    <row r="62" spans="1:22" x14ac:dyDescent="0.3">
      <c r="A62" s="62" t="str">
        <f t="shared" si="9"/>
        <v>06:00-07:00</v>
      </c>
      <c r="B62" s="108">
        <v>70</v>
      </c>
      <c r="C62" s="140">
        <v>25</v>
      </c>
      <c r="D62" s="108">
        <v>14</v>
      </c>
      <c r="E62" s="108">
        <v>16</v>
      </c>
      <c r="F62" s="108">
        <v>29</v>
      </c>
      <c r="G62" s="108">
        <v>34</v>
      </c>
      <c r="H62" s="108">
        <v>93</v>
      </c>
      <c r="I62" s="108">
        <v>0</v>
      </c>
      <c r="J62" s="108">
        <v>94</v>
      </c>
      <c r="K62" s="108">
        <v>16</v>
      </c>
      <c r="L62" s="108">
        <v>0</v>
      </c>
      <c r="M62" s="108">
        <v>3</v>
      </c>
      <c r="N62" s="108">
        <v>0</v>
      </c>
      <c r="O62" s="108">
        <v>0</v>
      </c>
      <c r="P62" s="108">
        <v>2</v>
      </c>
      <c r="Q62" s="66">
        <f t="shared" si="11"/>
        <v>205</v>
      </c>
      <c r="R62" s="59">
        <f t="shared" si="12"/>
        <v>191</v>
      </c>
      <c r="S62" s="59">
        <f t="shared" si="10"/>
        <v>396</v>
      </c>
      <c r="T62" s="59">
        <f t="shared" si="13"/>
        <v>0</v>
      </c>
      <c r="U62" s="59">
        <f t="shared" si="14"/>
        <v>396</v>
      </c>
      <c r="V62" s="60">
        <f t="shared" si="15"/>
        <v>876</v>
      </c>
    </row>
    <row r="63" spans="1:22" x14ac:dyDescent="0.3">
      <c r="A63" s="62" t="str">
        <f t="shared" si="9"/>
        <v>07:00-08:00</v>
      </c>
      <c r="B63" s="108">
        <v>104</v>
      </c>
      <c r="C63" s="140">
        <v>31</v>
      </c>
      <c r="D63" s="108">
        <v>18</v>
      </c>
      <c r="E63" s="108">
        <v>21</v>
      </c>
      <c r="F63" s="108">
        <v>27</v>
      </c>
      <c r="G63" s="108">
        <v>40</v>
      </c>
      <c r="H63" s="108">
        <v>99</v>
      </c>
      <c r="I63" s="108">
        <v>0</v>
      </c>
      <c r="J63" s="108">
        <v>159</v>
      </c>
      <c r="K63" s="108">
        <v>24</v>
      </c>
      <c r="L63" s="108">
        <v>0</v>
      </c>
      <c r="M63" s="108">
        <v>7</v>
      </c>
      <c r="N63" s="108">
        <v>0</v>
      </c>
      <c r="O63" s="108">
        <v>0</v>
      </c>
      <c r="P63" s="108">
        <v>2</v>
      </c>
      <c r="Q63" s="66">
        <f t="shared" si="11"/>
        <v>318</v>
      </c>
      <c r="R63" s="59">
        <f t="shared" si="12"/>
        <v>214</v>
      </c>
      <c r="S63" s="59">
        <f t="shared" si="10"/>
        <v>532</v>
      </c>
      <c r="T63" s="59">
        <f t="shared" si="13"/>
        <v>0</v>
      </c>
      <c r="U63" s="59">
        <f t="shared" si="14"/>
        <v>532</v>
      </c>
      <c r="V63" s="60">
        <f t="shared" si="15"/>
        <v>1037</v>
      </c>
    </row>
    <row r="64" spans="1:22" x14ac:dyDescent="0.3">
      <c r="A64" s="62" t="str">
        <f t="shared" si="9"/>
        <v>08:00-09:00</v>
      </c>
      <c r="B64" s="108">
        <v>182</v>
      </c>
      <c r="C64" s="140">
        <v>54</v>
      </c>
      <c r="D64" s="108">
        <v>25</v>
      </c>
      <c r="E64" s="108">
        <v>22</v>
      </c>
      <c r="F64" s="108">
        <v>32</v>
      </c>
      <c r="G64" s="108">
        <v>44</v>
      </c>
      <c r="H64" s="108">
        <v>86</v>
      </c>
      <c r="I64" s="108">
        <v>0</v>
      </c>
      <c r="J64" s="108">
        <v>289</v>
      </c>
      <c r="K64" s="108">
        <v>26</v>
      </c>
      <c r="L64" s="108">
        <v>0</v>
      </c>
      <c r="M64" s="108">
        <v>5</v>
      </c>
      <c r="N64" s="108">
        <v>0</v>
      </c>
      <c r="O64" s="108">
        <v>0</v>
      </c>
      <c r="P64" s="108">
        <v>2</v>
      </c>
      <c r="Q64" s="66">
        <f t="shared" si="11"/>
        <v>551</v>
      </c>
      <c r="R64" s="59">
        <f t="shared" si="12"/>
        <v>216</v>
      </c>
      <c r="S64" s="59">
        <f t="shared" si="10"/>
        <v>767</v>
      </c>
      <c r="T64" s="59">
        <f t="shared" si="13"/>
        <v>0</v>
      </c>
      <c r="U64" s="59">
        <f t="shared" si="14"/>
        <v>767</v>
      </c>
      <c r="V64" s="60">
        <f t="shared" si="15"/>
        <v>1219</v>
      </c>
    </row>
    <row r="65" spans="1:22" x14ac:dyDescent="0.3">
      <c r="A65" s="62" t="str">
        <f t="shared" si="9"/>
        <v>09:00-10:00</v>
      </c>
      <c r="B65" s="108">
        <v>198</v>
      </c>
      <c r="C65" s="140">
        <v>18</v>
      </c>
      <c r="D65" s="108">
        <v>15</v>
      </c>
      <c r="E65" s="108">
        <v>9</v>
      </c>
      <c r="F65" s="108">
        <v>17</v>
      </c>
      <c r="G65" s="108">
        <v>35</v>
      </c>
      <c r="H65" s="108">
        <v>82</v>
      </c>
      <c r="I65" s="108">
        <v>0</v>
      </c>
      <c r="J65" s="108">
        <v>258</v>
      </c>
      <c r="K65" s="108">
        <v>59</v>
      </c>
      <c r="L65" s="108">
        <v>0</v>
      </c>
      <c r="M65" s="108">
        <v>3</v>
      </c>
      <c r="N65" s="108">
        <v>2</v>
      </c>
      <c r="O65" s="108">
        <v>0</v>
      </c>
      <c r="P65" s="108">
        <v>0</v>
      </c>
      <c r="Q65" s="66">
        <f t="shared" si="11"/>
        <v>535</v>
      </c>
      <c r="R65" s="59">
        <f t="shared" si="12"/>
        <v>161</v>
      </c>
      <c r="S65" s="59">
        <f t="shared" si="10"/>
        <v>696</v>
      </c>
      <c r="T65" s="59">
        <f t="shared" si="13"/>
        <v>2</v>
      </c>
      <c r="U65" s="59">
        <f t="shared" si="14"/>
        <v>696</v>
      </c>
      <c r="V65" s="60">
        <f t="shared" si="15"/>
        <v>1008</v>
      </c>
    </row>
    <row r="66" spans="1:22" x14ac:dyDescent="0.3">
      <c r="A66" s="62" t="str">
        <f t="shared" si="9"/>
        <v>10:00-11:00</v>
      </c>
      <c r="B66" s="108">
        <v>232</v>
      </c>
      <c r="C66" s="140">
        <v>30</v>
      </c>
      <c r="D66" s="108">
        <v>32</v>
      </c>
      <c r="E66" s="108">
        <v>10</v>
      </c>
      <c r="F66" s="108">
        <v>21</v>
      </c>
      <c r="G66" s="108">
        <v>21</v>
      </c>
      <c r="H66" s="108">
        <v>104</v>
      </c>
      <c r="I66" s="108">
        <v>0</v>
      </c>
      <c r="J66" s="108">
        <v>236</v>
      </c>
      <c r="K66" s="108">
        <v>60</v>
      </c>
      <c r="L66" s="108">
        <v>0</v>
      </c>
      <c r="M66" s="108">
        <v>6</v>
      </c>
      <c r="N66" s="108">
        <v>5</v>
      </c>
      <c r="O66" s="108">
        <v>0</v>
      </c>
      <c r="P66" s="108">
        <v>0</v>
      </c>
      <c r="Q66" s="66">
        <f t="shared" si="11"/>
        <v>563</v>
      </c>
      <c r="R66" s="59">
        <f t="shared" si="12"/>
        <v>194</v>
      </c>
      <c r="S66" s="59">
        <f t="shared" si="10"/>
        <v>757</v>
      </c>
      <c r="T66" s="59">
        <f t="shared" si="13"/>
        <v>5</v>
      </c>
      <c r="U66" s="59">
        <f t="shared" si="14"/>
        <v>757</v>
      </c>
      <c r="V66" s="60">
        <f t="shared" si="15"/>
        <v>1170.5</v>
      </c>
    </row>
    <row r="67" spans="1:22" x14ac:dyDescent="0.3">
      <c r="A67" s="62" t="str">
        <f t="shared" si="9"/>
        <v>11:00-12:00</v>
      </c>
      <c r="B67" s="108">
        <v>200</v>
      </c>
      <c r="C67" s="140">
        <v>18</v>
      </c>
      <c r="D67" s="108">
        <v>23</v>
      </c>
      <c r="E67" s="108">
        <v>22</v>
      </c>
      <c r="F67" s="108">
        <v>16</v>
      </c>
      <c r="G67" s="108">
        <v>25</v>
      </c>
      <c r="H67" s="108">
        <v>60</v>
      </c>
      <c r="I67" s="108">
        <v>0</v>
      </c>
      <c r="J67" s="108">
        <v>209</v>
      </c>
      <c r="K67" s="108">
        <v>47</v>
      </c>
      <c r="L67" s="108">
        <v>2</v>
      </c>
      <c r="M67" s="108">
        <v>5</v>
      </c>
      <c r="N67" s="108">
        <v>0</v>
      </c>
      <c r="O67" s="108">
        <v>0</v>
      </c>
      <c r="P67" s="108">
        <v>0</v>
      </c>
      <c r="Q67" s="66">
        <f t="shared" si="11"/>
        <v>474</v>
      </c>
      <c r="R67" s="59">
        <f t="shared" si="12"/>
        <v>153</v>
      </c>
      <c r="S67" s="59">
        <f t="shared" si="10"/>
        <v>627</v>
      </c>
      <c r="T67" s="59">
        <f t="shared" si="13"/>
        <v>0</v>
      </c>
      <c r="U67" s="59">
        <f t="shared" si="14"/>
        <v>627</v>
      </c>
      <c r="V67" s="60">
        <f t="shared" si="15"/>
        <v>880</v>
      </c>
    </row>
    <row r="68" spans="1:22" x14ac:dyDescent="0.3">
      <c r="A68" s="48" t="s">
        <v>23</v>
      </c>
      <c r="B68" s="146">
        <f>SUM(B44:B67)</f>
        <v>2703</v>
      </c>
      <c r="C68" s="94">
        <f t="shared" ref="C68:V68" si="16">SUM(C44:C67)</f>
        <v>492</v>
      </c>
      <c r="D68" s="146">
        <f t="shared" si="16"/>
        <v>429</v>
      </c>
      <c r="E68" s="110">
        <f t="shared" si="16"/>
        <v>415</v>
      </c>
      <c r="F68" s="146">
        <f t="shared" si="16"/>
        <v>563</v>
      </c>
      <c r="G68" s="146">
        <f t="shared" si="16"/>
        <v>573</v>
      </c>
      <c r="H68" s="146">
        <f t="shared" si="16"/>
        <v>1845</v>
      </c>
      <c r="I68" s="146">
        <f t="shared" si="16"/>
        <v>0</v>
      </c>
      <c r="J68" s="146">
        <f t="shared" si="16"/>
        <v>3385</v>
      </c>
      <c r="K68" s="146">
        <f t="shared" si="16"/>
        <v>592</v>
      </c>
      <c r="L68" s="146">
        <f t="shared" si="16"/>
        <v>2</v>
      </c>
      <c r="M68" s="146">
        <f t="shared" si="16"/>
        <v>78</v>
      </c>
      <c r="N68" s="146">
        <f t="shared" si="16"/>
        <v>14</v>
      </c>
      <c r="O68" s="146">
        <f t="shared" si="16"/>
        <v>0</v>
      </c>
      <c r="P68" s="146">
        <f t="shared" si="16"/>
        <v>12</v>
      </c>
      <c r="Q68" s="107">
        <f t="shared" si="16"/>
        <v>7186</v>
      </c>
      <c r="R68" s="30">
        <f t="shared" si="16"/>
        <v>3917</v>
      </c>
      <c r="S68" s="31">
        <f t="shared" si="16"/>
        <v>11103</v>
      </c>
      <c r="T68" s="30">
        <f t="shared" si="16"/>
        <v>14</v>
      </c>
      <c r="U68" s="31">
        <f t="shared" si="16"/>
        <v>11103</v>
      </c>
      <c r="V68" s="31">
        <f t="shared" si="16"/>
        <v>19640.5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  <mergeCell ref="A38:V38"/>
    <mergeCell ref="A42:A43"/>
    <mergeCell ref="N42:O42"/>
    <mergeCell ref="B42:M42"/>
    <mergeCell ref="B39:P39"/>
    <mergeCell ref="R39:V39"/>
    <mergeCell ref="B40:V40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3:AR98"/>
  <sheetViews>
    <sheetView zoomScale="106" zoomScaleNormal="106" workbookViewId="0">
      <selection activeCell="A34" sqref="A34:M36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0" t="s">
        <v>29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9" t="s">
        <v>29</v>
      </c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1"/>
    </row>
    <row r="5" spans="1:44" x14ac:dyDescent="0.3">
      <c r="A5" s="143" t="s">
        <v>201</v>
      </c>
      <c r="B5" s="153" t="str">
        <f>'Day-6'!B5:P5</f>
        <v>Nathavalasa Toll Plaza</v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5"/>
      <c r="Q5" s="143" t="s">
        <v>202</v>
      </c>
      <c r="R5" s="156">
        <v>45238</v>
      </c>
      <c r="S5" s="157"/>
      <c r="T5" s="157"/>
      <c r="U5" s="157"/>
      <c r="V5" s="158"/>
      <c r="W5" s="143" t="str">
        <f>A5</f>
        <v xml:space="preserve">Location: </v>
      </c>
      <c r="X5" s="153" t="str">
        <f>B5</f>
        <v>Nathavalasa Toll Plaza</v>
      </c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5"/>
      <c r="AJ5" s="143" t="str">
        <f>Q5</f>
        <v>Date:</v>
      </c>
      <c r="AK5" s="156">
        <f>R5</f>
        <v>45238</v>
      </c>
      <c r="AL5" s="168"/>
      <c r="AM5" s="168"/>
      <c r="AN5" s="168"/>
      <c r="AO5" s="168"/>
      <c r="AP5" s="168"/>
      <c r="AQ5" s="168"/>
      <c r="AR5" s="169"/>
    </row>
    <row r="6" spans="1:44" x14ac:dyDescent="0.3">
      <c r="A6" s="144" t="s">
        <v>203</v>
      </c>
      <c r="B6" s="153" t="str">
        <f>'Day-6'!B6:V6</f>
        <v>Ranasthalam to Anandapuram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5"/>
      <c r="W6" s="153" t="s">
        <v>1</v>
      </c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5"/>
    </row>
    <row r="7" spans="1:44" x14ac:dyDescent="0.3">
      <c r="A7" s="14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1" t="s">
        <v>2</v>
      </c>
      <c r="B8" s="171" t="s">
        <v>80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0" t="s">
        <v>81</v>
      </c>
      <c r="O8" s="170"/>
      <c r="P8" s="103"/>
      <c r="Q8" s="104"/>
      <c r="R8" s="104"/>
      <c r="S8" s="104"/>
      <c r="T8" s="104"/>
      <c r="U8" s="104"/>
      <c r="V8" s="105"/>
      <c r="W8" s="162" t="s">
        <v>2</v>
      </c>
      <c r="X8" s="163" t="s">
        <v>80</v>
      </c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5"/>
      <c r="AJ8" s="166" t="s">
        <v>81</v>
      </c>
      <c r="AK8" s="167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2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1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49" t="s">
        <v>76</v>
      </c>
      <c r="AM9" s="149" t="s">
        <v>17</v>
      </c>
      <c r="AN9" s="149" t="s">
        <v>18</v>
      </c>
      <c r="AO9" s="149" t="s">
        <v>19</v>
      </c>
      <c r="AP9" s="149" t="s">
        <v>20</v>
      </c>
      <c r="AQ9" s="149" t="s">
        <v>21</v>
      </c>
      <c r="AR9" s="149" t="s">
        <v>22</v>
      </c>
    </row>
    <row r="10" spans="1:44" x14ac:dyDescent="0.3">
      <c r="A10" s="62" t="str">
        <f>'Day-6'!A10</f>
        <v>12:00-13:00</v>
      </c>
      <c r="B10" s="108">
        <v>170</v>
      </c>
      <c r="C10" s="140">
        <v>26</v>
      </c>
      <c r="D10" s="108">
        <v>21</v>
      </c>
      <c r="E10" s="108">
        <v>19</v>
      </c>
      <c r="F10" s="108">
        <v>19</v>
      </c>
      <c r="G10" s="108">
        <v>24</v>
      </c>
      <c r="H10" s="108">
        <v>61</v>
      </c>
      <c r="I10" s="108">
        <v>0</v>
      </c>
      <c r="J10" s="108">
        <v>180</v>
      </c>
      <c r="K10" s="108">
        <v>24</v>
      </c>
      <c r="L10" s="108">
        <v>4</v>
      </c>
      <c r="M10" s="108">
        <v>0</v>
      </c>
      <c r="N10" s="108">
        <v>0</v>
      </c>
      <c r="O10" s="108">
        <v>0</v>
      </c>
      <c r="P10" s="108">
        <v>2</v>
      </c>
      <c r="Q10" s="63">
        <f>B10+C10+J10+K10+N10+O10</f>
        <v>400</v>
      </c>
      <c r="R10" s="45">
        <f>D10+E10+F10+G10+H10+I10+L10+M10+P10</f>
        <v>150</v>
      </c>
      <c r="S10" s="45">
        <f t="shared" ref="S10:S33" si="0">Q10+R10</f>
        <v>550</v>
      </c>
      <c r="T10" s="45">
        <f>N10+O10</f>
        <v>0</v>
      </c>
      <c r="U10" s="45">
        <f>SUM(B10:P10)</f>
        <v>550</v>
      </c>
      <c r="V10" s="46">
        <f>SUMPRODUCT(B10:P10,$B$7:$P$7)</f>
        <v>830</v>
      </c>
      <c r="W10" s="47" t="str">
        <f t="shared" ref="W10:W33" si="1">A10</f>
        <v>12:00-13:00</v>
      </c>
      <c r="X10" s="45">
        <f>B10+B44</f>
        <v>314</v>
      </c>
      <c r="Y10" s="45">
        <f>C10+C44</f>
        <v>57</v>
      </c>
      <c r="Z10" s="45">
        <f>D10+D44</f>
        <v>39</v>
      </c>
      <c r="AA10" s="45">
        <f>E10+E44</f>
        <v>49</v>
      </c>
      <c r="AB10" s="45">
        <f>F10+F44</f>
        <v>31</v>
      </c>
      <c r="AC10" s="45">
        <f>G10+G44</f>
        <v>47</v>
      </c>
      <c r="AD10" s="45">
        <f>H10+H44</f>
        <v>132</v>
      </c>
      <c r="AE10" s="45">
        <f>I10+I44</f>
        <v>0</v>
      </c>
      <c r="AF10" s="45">
        <f>J10+J44</f>
        <v>288</v>
      </c>
      <c r="AG10" s="45">
        <f>K10+K44</f>
        <v>65</v>
      </c>
      <c r="AH10" s="45">
        <f>L10+L44</f>
        <v>6</v>
      </c>
      <c r="AI10" s="45">
        <f>M10+M44</f>
        <v>5</v>
      </c>
      <c r="AJ10" s="45">
        <f>N10+N44</f>
        <v>0</v>
      </c>
      <c r="AK10" s="45">
        <f>O10+O44</f>
        <v>0</v>
      </c>
      <c r="AL10" s="45">
        <f>P10+P44</f>
        <v>4</v>
      </c>
      <c r="AM10" s="45">
        <f>Q10+Q44</f>
        <v>724</v>
      </c>
      <c r="AN10" s="45">
        <f>R10+R44</f>
        <v>313</v>
      </c>
      <c r="AO10" s="45">
        <f>S10+S44</f>
        <v>1037</v>
      </c>
      <c r="AP10" s="45">
        <f>T10+T44</f>
        <v>0</v>
      </c>
      <c r="AQ10" s="45">
        <f>U10+U44</f>
        <v>1037</v>
      </c>
      <c r="AR10" s="53">
        <f>V10+V44</f>
        <v>1684</v>
      </c>
    </row>
    <row r="11" spans="1:44" x14ac:dyDescent="0.3">
      <c r="A11" s="62" t="str">
        <f>'Day-6'!A11</f>
        <v>13:00-14:00</v>
      </c>
      <c r="B11" s="108">
        <v>186</v>
      </c>
      <c r="C11" s="140">
        <v>32</v>
      </c>
      <c r="D11" s="108">
        <v>17</v>
      </c>
      <c r="E11" s="108">
        <v>17</v>
      </c>
      <c r="F11" s="108">
        <v>18</v>
      </c>
      <c r="G11" s="108">
        <v>19</v>
      </c>
      <c r="H11" s="108">
        <v>73</v>
      </c>
      <c r="I11" s="108">
        <v>0</v>
      </c>
      <c r="J11" s="108">
        <v>235</v>
      </c>
      <c r="K11" s="108">
        <v>37</v>
      </c>
      <c r="L11" s="108">
        <v>4</v>
      </c>
      <c r="M11" s="108">
        <v>0</v>
      </c>
      <c r="N11" s="108">
        <v>0</v>
      </c>
      <c r="O11" s="108">
        <v>0</v>
      </c>
      <c r="P11" s="108">
        <v>2</v>
      </c>
      <c r="Q11" s="63">
        <f t="shared" ref="Q11:Q33" si="2">B11+C11+J11+K11+N11+O11</f>
        <v>490</v>
      </c>
      <c r="R11" s="45">
        <f t="shared" ref="R11:R33" si="3">D11+E11+F11+G11+H11+I11+L11+M11+P11</f>
        <v>150</v>
      </c>
      <c r="S11" s="45">
        <f t="shared" si="0"/>
        <v>640</v>
      </c>
      <c r="T11" s="45">
        <f t="shared" ref="T11:T33" si="4">N11+O11</f>
        <v>0</v>
      </c>
      <c r="U11" s="45">
        <f t="shared" ref="U11:U33" si="5">SUM(B11:P11)</f>
        <v>640</v>
      </c>
      <c r="V11" s="46">
        <f t="shared" ref="V11:V33" si="6">SUMPRODUCT(B11:P11,$B$7:$P$7)</f>
        <v>933.5</v>
      </c>
      <c r="W11" s="47" t="str">
        <f t="shared" si="1"/>
        <v>13:00-14:00</v>
      </c>
      <c r="X11" s="45">
        <f>B11+B45</f>
        <v>353</v>
      </c>
      <c r="Y11" s="45">
        <f>C11+C45</f>
        <v>57</v>
      </c>
      <c r="Z11" s="45">
        <f>D11+D45</f>
        <v>40</v>
      </c>
      <c r="AA11" s="45">
        <f>E11+E45</f>
        <v>44</v>
      </c>
      <c r="AB11" s="45">
        <f>F11+F45</f>
        <v>30</v>
      </c>
      <c r="AC11" s="45">
        <f>G11+G45</f>
        <v>47</v>
      </c>
      <c r="AD11" s="45">
        <f>H11+H45</f>
        <v>130</v>
      </c>
      <c r="AE11" s="45">
        <f>I11+I45</f>
        <v>0</v>
      </c>
      <c r="AF11" s="45">
        <f>J11+J45</f>
        <v>350</v>
      </c>
      <c r="AG11" s="45">
        <f>K11+K45</f>
        <v>61</v>
      </c>
      <c r="AH11" s="45">
        <f>L11+L45</f>
        <v>6</v>
      </c>
      <c r="AI11" s="45">
        <f>M11+M45</f>
        <v>0</v>
      </c>
      <c r="AJ11" s="45">
        <f>N11+N45</f>
        <v>0</v>
      </c>
      <c r="AK11" s="45">
        <f>O11+O45</f>
        <v>0</v>
      </c>
      <c r="AL11" s="45">
        <f>P11+P45</f>
        <v>2</v>
      </c>
      <c r="AM11" s="45">
        <f>Q11+Q45</f>
        <v>821</v>
      </c>
      <c r="AN11" s="45">
        <f>R11+R45</f>
        <v>299</v>
      </c>
      <c r="AO11" s="45">
        <f>S11+S45</f>
        <v>1120</v>
      </c>
      <c r="AP11" s="45">
        <f>T11+T45</f>
        <v>0</v>
      </c>
      <c r="AQ11" s="45">
        <f>U11+U45</f>
        <v>1120</v>
      </c>
      <c r="AR11" s="45">
        <f>V11+V45</f>
        <v>1700</v>
      </c>
    </row>
    <row r="12" spans="1:44" x14ac:dyDescent="0.3">
      <c r="A12" s="62" t="str">
        <f>'Day-6'!A12</f>
        <v>14:00-15:00</v>
      </c>
      <c r="B12" s="108">
        <v>181</v>
      </c>
      <c r="C12" s="140">
        <v>21</v>
      </c>
      <c r="D12" s="108">
        <v>31</v>
      </c>
      <c r="E12" s="108">
        <v>15</v>
      </c>
      <c r="F12" s="108">
        <v>11</v>
      </c>
      <c r="G12" s="108">
        <v>27</v>
      </c>
      <c r="H12" s="108">
        <v>53</v>
      </c>
      <c r="I12" s="108">
        <v>0</v>
      </c>
      <c r="J12" s="108">
        <v>252</v>
      </c>
      <c r="K12" s="108">
        <v>38</v>
      </c>
      <c r="L12" s="108">
        <v>5</v>
      </c>
      <c r="M12" s="108">
        <v>0</v>
      </c>
      <c r="N12" s="108">
        <v>0</v>
      </c>
      <c r="O12" s="108">
        <v>0</v>
      </c>
      <c r="P12" s="108">
        <v>0</v>
      </c>
      <c r="Q12" s="63">
        <f t="shared" si="2"/>
        <v>492</v>
      </c>
      <c r="R12" s="45">
        <f t="shared" si="3"/>
        <v>142</v>
      </c>
      <c r="S12" s="45">
        <f t="shared" si="0"/>
        <v>634</v>
      </c>
      <c r="T12" s="45">
        <f t="shared" si="4"/>
        <v>0</v>
      </c>
      <c r="U12" s="45">
        <f t="shared" si="5"/>
        <v>634</v>
      </c>
      <c r="V12" s="46">
        <f t="shared" si="6"/>
        <v>821.5</v>
      </c>
      <c r="W12" s="47" t="str">
        <f t="shared" si="1"/>
        <v>14:00-15:00</v>
      </c>
      <c r="X12" s="45">
        <f>B12+B46</f>
        <v>387</v>
      </c>
      <c r="Y12" s="45">
        <f>C12+C46</f>
        <v>44</v>
      </c>
      <c r="Z12" s="45">
        <f>D12+D46</f>
        <v>47</v>
      </c>
      <c r="AA12" s="45">
        <f>E12+E46</f>
        <v>38</v>
      </c>
      <c r="AB12" s="45">
        <f>F12+F46</f>
        <v>27</v>
      </c>
      <c r="AC12" s="45">
        <f>G12+G46</f>
        <v>56</v>
      </c>
      <c r="AD12" s="45">
        <f>H12+H46</f>
        <v>115</v>
      </c>
      <c r="AE12" s="45">
        <f>I12+I46</f>
        <v>0</v>
      </c>
      <c r="AF12" s="45">
        <f>J12+J46</f>
        <v>447</v>
      </c>
      <c r="AG12" s="45">
        <f>K12+K46</f>
        <v>79</v>
      </c>
      <c r="AH12" s="45">
        <f>L12+L46</f>
        <v>7</v>
      </c>
      <c r="AI12" s="45">
        <f>M12+M46</f>
        <v>8</v>
      </c>
      <c r="AJ12" s="45">
        <f>N12+N46</f>
        <v>2</v>
      </c>
      <c r="AK12" s="45">
        <f>O12+O46</f>
        <v>0</v>
      </c>
      <c r="AL12" s="45">
        <f>P12+P46</f>
        <v>0</v>
      </c>
      <c r="AM12" s="45">
        <f>Q12+Q46</f>
        <v>959</v>
      </c>
      <c r="AN12" s="45">
        <f>R12+R46</f>
        <v>298</v>
      </c>
      <c r="AO12" s="45">
        <f>S12+S46</f>
        <v>1257</v>
      </c>
      <c r="AP12" s="45">
        <f>T12+T46</f>
        <v>2</v>
      </c>
      <c r="AQ12" s="45">
        <f>U12+U46</f>
        <v>1257</v>
      </c>
      <c r="AR12" s="45">
        <f>V12+V46</f>
        <v>1739.5</v>
      </c>
    </row>
    <row r="13" spans="1:44" x14ac:dyDescent="0.3">
      <c r="A13" s="62" t="str">
        <f>'Day-6'!A13</f>
        <v>15:00-16:00</v>
      </c>
      <c r="B13" s="108">
        <v>211</v>
      </c>
      <c r="C13" s="141">
        <v>28</v>
      </c>
      <c r="D13" s="108">
        <v>33</v>
      </c>
      <c r="E13" s="108">
        <v>18</v>
      </c>
      <c r="F13" s="108">
        <v>22</v>
      </c>
      <c r="G13" s="108">
        <v>30</v>
      </c>
      <c r="H13" s="108">
        <v>86</v>
      </c>
      <c r="I13" s="108">
        <v>0</v>
      </c>
      <c r="J13" s="108">
        <v>246</v>
      </c>
      <c r="K13" s="108">
        <v>47</v>
      </c>
      <c r="L13" s="108">
        <v>5</v>
      </c>
      <c r="M13" s="108">
        <v>0</v>
      </c>
      <c r="N13" s="108">
        <v>0</v>
      </c>
      <c r="O13" s="108">
        <v>0</v>
      </c>
      <c r="P13" s="108">
        <v>2</v>
      </c>
      <c r="Q13" s="63">
        <f t="shared" si="2"/>
        <v>532</v>
      </c>
      <c r="R13" s="45">
        <f t="shared" si="3"/>
        <v>196</v>
      </c>
      <c r="S13" s="45">
        <f t="shared" si="0"/>
        <v>728</v>
      </c>
      <c r="T13" s="45">
        <f t="shared" si="4"/>
        <v>0</v>
      </c>
      <c r="U13" s="45">
        <f t="shared" si="5"/>
        <v>728</v>
      </c>
      <c r="V13" s="46">
        <f t="shared" si="6"/>
        <v>1084.5</v>
      </c>
      <c r="W13" s="47" t="str">
        <f t="shared" si="1"/>
        <v>15:00-16:00</v>
      </c>
      <c r="X13" s="45">
        <f>B13+B47</f>
        <v>471</v>
      </c>
      <c r="Y13" s="45">
        <f>C13+C47</f>
        <v>59</v>
      </c>
      <c r="Z13" s="45">
        <f>D13+D47</f>
        <v>52</v>
      </c>
      <c r="AA13" s="45">
        <f>E13+E47</f>
        <v>33</v>
      </c>
      <c r="AB13" s="45">
        <f>F13+F47</f>
        <v>30</v>
      </c>
      <c r="AC13" s="45">
        <f>G13+G47</f>
        <v>62</v>
      </c>
      <c r="AD13" s="45">
        <f>H13+H47</f>
        <v>180</v>
      </c>
      <c r="AE13" s="45">
        <f>I13+I47</f>
        <v>0</v>
      </c>
      <c r="AF13" s="45">
        <f>J13+J47</f>
        <v>447</v>
      </c>
      <c r="AG13" s="45">
        <f>K13+K47</f>
        <v>82</v>
      </c>
      <c r="AH13" s="45">
        <f>L13+L47</f>
        <v>5</v>
      </c>
      <c r="AI13" s="45">
        <f>M13+M47</f>
        <v>7</v>
      </c>
      <c r="AJ13" s="45">
        <f>N13+N47</f>
        <v>2</v>
      </c>
      <c r="AK13" s="45">
        <f>O13+O47</f>
        <v>0</v>
      </c>
      <c r="AL13" s="45">
        <f>P13+P47</f>
        <v>2</v>
      </c>
      <c r="AM13" s="45">
        <f>Q13+Q47</f>
        <v>1061</v>
      </c>
      <c r="AN13" s="45">
        <f>R13+R47</f>
        <v>371</v>
      </c>
      <c r="AO13" s="45">
        <f>S13+S47</f>
        <v>1432</v>
      </c>
      <c r="AP13" s="45">
        <f>T13+T47</f>
        <v>2</v>
      </c>
      <c r="AQ13" s="45">
        <f>U13+U47</f>
        <v>1432</v>
      </c>
      <c r="AR13" s="45">
        <f>V13+V47</f>
        <v>2190</v>
      </c>
    </row>
    <row r="14" spans="1:44" x14ac:dyDescent="0.3">
      <c r="A14" s="62" t="str">
        <f>'Day-6'!A14</f>
        <v>16:00-17:00</v>
      </c>
      <c r="B14" s="108">
        <v>203</v>
      </c>
      <c r="C14" s="141">
        <v>34</v>
      </c>
      <c r="D14" s="108">
        <v>21</v>
      </c>
      <c r="E14" s="108">
        <v>30</v>
      </c>
      <c r="F14" s="108">
        <v>14</v>
      </c>
      <c r="G14" s="108">
        <v>25</v>
      </c>
      <c r="H14" s="108">
        <v>78</v>
      </c>
      <c r="I14" s="108">
        <v>0</v>
      </c>
      <c r="J14" s="108">
        <v>308</v>
      </c>
      <c r="K14" s="108">
        <v>40</v>
      </c>
      <c r="L14" s="108">
        <v>0</v>
      </c>
      <c r="M14" s="108">
        <v>7</v>
      </c>
      <c r="N14" s="108">
        <v>2</v>
      </c>
      <c r="O14" s="108">
        <v>0</v>
      </c>
      <c r="P14" s="108">
        <v>0</v>
      </c>
      <c r="Q14" s="63">
        <f t="shared" si="2"/>
        <v>587</v>
      </c>
      <c r="R14" s="45">
        <f t="shared" si="3"/>
        <v>175</v>
      </c>
      <c r="S14" s="45">
        <f t="shared" si="0"/>
        <v>762</v>
      </c>
      <c r="T14" s="45">
        <f t="shared" si="4"/>
        <v>2</v>
      </c>
      <c r="U14" s="45">
        <f t="shared" si="5"/>
        <v>762</v>
      </c>
      <c r="V14" s="46">
        <f t="shared" si="6"/>
        <v>1065.5</v>
      </c>
      <c r="W14" s="47" t="str">
        <f t="shared" si="1"/>
        <v>16:00-17:00</v>
      </c>
      <c r="X14" s="45">
        <f>B14+B48</f>
        <v>441</v>
      </c>
      <c r="Y14" s="45">
        <f>C14+C48</f>
        <v>61</v>
      </c>
      <c r="Z14" s="45">
        <f>D14+D48</f>
        <v>46</v>
      </c>
      <c r="AA14" s="45">
        <f>E14+E48</f>
        <v>47</v>
      </c>
      <c r="AB14" s="45">
        <f>F14+F48</f>
        <v>28</v>
      </c>
      <c r="AC14" s="45">
        <f>G14+G48</f>
        <v>42</v>
      </c>
      <c r="AD14" s="45">
        <f>H14+H48</f>
        <v>135</v>
      </c>
      <c r="AE14" s="45">
        <f>I14+I48</f>
        <v>0</v>
      </c>
      <c r="AF14" s="45">
        <f>J14+J48</f>
        <v>519</v>
      </c>
      <c r="AG14" s="45">
        <f>K14+K48</f>
        <v>101</v>
      </c>
      <c r="AH14" s="45">
        <f>L14+L48</f>
        <v>2</v>
      </c>
      <c r="AI14" s="45">
        <f>M14+M48</f>
        <v>10</v>
      </c>
      <c r="AJ14" s="45">
        <f>N14+N48</f>
        <v>2</v>
      </c>
      <c r="AK14" s="45">
        <f>O14+O48</f>
        <v>0</v>
      </c>
      <c r="AL14" s="45">
        <f>P14+P48</f>
        <v>0</v>
      </c>
      <c r="AM14" s="45">
        <f>Q14+Q48</f>
        <v>1124</v>
      </c>
      <c r="AN14" s="45">
        <f>R14+R48</f>
        <v>310</v>
      </c>
      <c r="AO14" s="45">
        <f>S14+S48</f>
        <v>1434</v>
      </c>
      <c r="AP14" s="45">
        <f>T14+T48</f>
        <v>2</v>
      </c>
      <c r="AQ14" s="45">
        <f>U14+U48</f>
        <v>1434</v>
      </c>
      <c r="AR14" s="45">
        <f>V14+V48</f>
        <v>1967.5</v>
      </c>
    </row>
    <row r="15" spans="1:44" x14ac:dyDescent="0.3">
      <c r="A15" s="62" t="str">
        <f>'Day-6'!A15</f>
        <v>17:00-18:00</v>
      </c>
      <c r="B15" s="108">
        <v>188</v>
      </c>
      <c r="C15" s="141">
        <v>23</v>
      </c>
      <c r="D15" s="108">
        <v>27</v>
      </c>
      <c r="E15" s="108">
        <v>31</v>
      </c>
      <c r="F15" s="108">
        <v>14</v>
      </c>
      <c r="G15" s="108">
        <v>22</v>
      </c>
      <c r="H15" s="108">
        <v>111</v>
      </c>
      <c r="I15" s="108">
        <v>0</v>
      </c>
      <c r="J15" s="108">
        <v>210</v>
      </c>
      <c r="K15" s="108">
        <v>30</v>
      </c>
      <c r="L15" s="108">
        <v>0</v>
      </c>
      <c r="M15" s="108">
        <v>3</v>
      </c>
      <c r="N15" s="108">
        <v>0</v>
      </c>
      <c r="O15" s="108">
        <v>0</v>
      </c>
      <c r="P15" s="108">
        <v>0</v>
      </c>
      <c r="Q15" s="63">
        <f t="shared" si="2"/>
        <v>451</v>
      </c>
      <c r="R15" s="45">
        <f t="shared" si="3"/>
        <v>208</v>
      </c>
      <c r="S15" s="45">
        <f t="shared" si="0"/>
        <v>659</v>
      </c>
      <c r="T15" s="45">
        <f t="shared" si="4"/>
        <v>0</v>
      </c>
      <c r="U15" s="45">
        <f t="shared" si="5"/>
        <v>659</v>
      </c>
      <c r="V15" s="46">
        <f t="shared" si="6"/>
        <v>1086.5</v>
      </c>
      <c r="W15" s="47" t="str">
        <f t="shared" si="1"/>
        <v>17:00-18:00</v>
      </c>
      <c r="X15" s="45">
        <f>B15+B49</f>
        <v>390</v>
      </c>
      <c r="Y15" s="45">
        <f>C15+C49</f>
        <v>40</v>
      </c>
      <c r="Z15" s="45">
        <f>D15+D49</f>
        <v>44</v>
      </c>
      <c r="AA15" s="45">
        <f>E15+E49</f>
        <v>48</v>
      </c>
      <c r="AB15" s="45">
        <f>F15+F49</f>
        <v>40</v>
      </c>
      <c r="AC15" s="45">
        <f>G15+G49</f>
        <v>34</v>
      </c>
      <c r="AD15" s="45">
        <f>H15+H49</f>
        <v>192</v>
      </c>
      <c r="AE15" s="45">
        <f>I15+I49</f>
        <v>0</v>
      </c>
      <c r="AF15" s="45">
        <f>J15+J49</f>
        <v>497</v>
      </c>
      <c r="AG15" s="45">
        <f>K15+K49</f>
        <v>85</v>
      </c>
      <c r="AH15" s="45">
        <f>L15+L49</f>
        <v>0</v>
      </c>
      <c r="AI15" s="45">
        <f>M15+M49</f>
        <v>9</v>
      </c>
      <c r="AJ15" s="45">
        <f>N15+N49</f>
        <v>0</v>
      </c>
      <c r="AK15" s="45">
        <f>O15+O49</f>
        <v>0</v>
      </c>
      <c r="AL15" s="45">
        <f>P15+P49</f>
        <v>0</v>
      </c>
      <c r="AM15" s="45">
        <f>Q15+Q49</f>
        <v>1012</v>
      </c>
      <c r="AN15" s="45">
        <f>R15+R49</f>
        <v>367</v>
      </c>
      <c r="AO15" s="45">
        <f>S15+S49</f>
        <v>1379</v>
      </c>
      <c r="AP15" s="45">
        <f>T15+T49</f>
        <v>0</v>
      </c>
      <c r="AQ15" s="45">
        <f>U15+U49</f>
        <v>1379</v>
      </c>
      <c r="AR15" s="45">
        <f>V15+V49</f>
        <v>2086</v>
      </c>
    </row>
    <row r="16" spans="1:44" x14ac:dyDescent="0.3">
      <c r="A16" s="62" t="str">
        <f>'Day-6'!A16</f>
        <v>18:00-19:00</v>
      </c>
      <c r="B16" s="108">
        <v>158</v>
      </c>
      <c r="C16" s="140">
        <v>24</v>
      </c>
      <c r="D16" s="108">
        <v>19</v>
      </c>
      <c r="E16" s="108">
        <v>30</v>
      </c>
      <c r="F16" s="108">
        <v>17</v>
      </c>
      <c r="G16" s="108">
        <v>21</v>
      </c>
      <c r="H16" s="108">
        <v>120</v>
      </c>
      <c r="I16" s="108">
        <v>0</v>
      </c>
      <c r="J16" s="108">
        <v>193</v>
      </c>
      <c r="K16" s="108">
        <v>19</v>
      </c>
      <c r="L16" s="108">
        <v>3</v>
      </c>
      <c r="M16" s="108">
        <v>0</v>
      </c>
      <c r="N16" s="108">
        <v>0</v>
      </c>
      <c r="O16" s="108">
        <v>0</v>
      </c>
      <c r="P16" s="108">
        <v>0</v>
      </c>
      <c r="Q16" s="63">
        <f t="shared" si="2"/>
        <v>394</v>
      </c>
      <c r="R16" s="45">
        <f t="shared" si="3"/>
        <v>210</v>
      </c>
      <c r="S16" s="45">
        <f t="shared" si="0"/>
        <v>604</v>
      </c>
      <c r="T16" s="45">
        <f t="shared" si="4"/>
        <v>0</v>
      </c>
      <c r="U16" s="45">
        <f t="shared" si="5"/>
        <v>604</v>
      </c>
      <c r="V16" s="46">
        <f t="shared" si="6"/>
        <v>1068</v>
      </c>
      <c r="W16" s="47" t="str">
        <f t="shared" si="1"/>
        <v>18:00-19:00</v>
      </c>
      <c r="X16" s="45">
        <f>B16+B50</f>
        <v>349</v>
      </c>
      <c r="Y16" s="45">
        <f>C16+C50</f>
        <v>39</v>
      </c>
      <c r="Z16" s="45">
        <f>D16+D50</f>
        <v>30</v>
      </c>
      <c r="AA16" s="45">
        <f>E16+E50</f>
        <v>55</v>
      </c>
      <c r="AB16" s="45">
        <f>F16+F50</f>
        <v>29</v>
      </c>
      <c r="AC16" s="45">
        <f>G16+G50</f>
        <v>36</v>
      </c>
      <c r="AD16" s="45">
        <f>H16+H50</f>
        <v>191</v>
      </c>
      <c r="AE16" s="45">
        <f>I16+I50</f>
        <v>0</v>
      </c>
      <c r="AF16" s="45">
        <f>J16+J50</f>
        <v>442</v>
      </c>
      <c r="AG16" s="45">
        <f>K16+K50</f>
        <v>37</v>
      </c>
      <c r="AH16" s="45">
        <f>L16+L50</f>
        <v>3</v>
      </c>
      <c r="AI16" s="45">
        <f>M16+M50</f>
        <v>2</v>
      </c>
      <c r="AJ16" s="45">
        <f>N16+N50</f>
        <v>0</v>
      </c>
      <c r="AK16" s="45">
        <f>O16+O50</f>
        <v>0</v>
      </c>
      <c r="AL16" s="45">
        <f>P16+P50</f>
        <v>0</v>
      </c>
      <c r="AM16" s="45">
        <f>Q16+Q50</f>
        <v>867</v>
      </c>
      <c r="AN16" s="45">
        <f>R16+R50</f>
        <v>346</v>
      </c>
      <c r="AO16" s="45">
        <f>S16+S50</f>
        <v>1213</v>
      </c>
      <c r="AP16" s="45">
        <f>T16+T50</f>
        <v>0</v>
      </c>
      <c r="AQ16" s="45">
        <f>U16+U50</f>
        <v>1213</v>
      </c>
      <c r="AR16" s="45">
        <f>V16+V50</f>
        <v>1904.5</v>
      </c>
    </row>
    <row r="17" spans="1:44" x14ac:dyDescent="0.3">
      <c r="A17" s="62" t="str">
        <f>'Day-6'!A17</f>
        <v>19:00-20:00</v>
      </c>
      <c r="B17" s="108">
        <v>125</v>
      </c>
      <c r="C17" s="140">
        <v>19</v>
      </c>
      <c r="D17" s="108">
        <v>11</v>
      </c>
      <c r="E17" s="108">
        <v>46</v>
      </c>
      <c r="F17" s="108">
        <v>17</v>
      </c>
      <c r="G17" s="108">
        <v>18</v>
      </c>
      <c r="H17" s="108">
        <v>113</v>
      </c>
      <c r="I17" s="108">
        <v>0</v>
      </c>
      <c r="J17" s="108">
        <v>110</v>
      </c>
      <c r="K17" s="108">
        <v>8</v>
      </c>
      <c r="L17" s="108">
        <v>2</v>
      </c>
      <c r="M17" s="108">
        <v>0</v>
      </c>
      <c r="N17" s="108">
        <v>0</v>
      </c>
      <c r="O17" s="108">
        <v>0</v>
      </c>
      <c r="P17" s="108">
        <v>0</v>
      </c>
      <c r="Q17" s="63">
        <f t="shared" si="2"/>
        <v>262</v>
      </c>
      <c r="R17" s="45">
        <f t="shared" si="3"/>
        <v>207</v>
      </c>
      <c r="S17" s="45">
        <f t="shared" si="0"/>
        <v>469</v>
      </c>
      <c r="T17" s="45">
        <f t="shared" si="4"/>
        <v>0</v>
      </c>
      <c r="U17" s="45">
        <f t="shared" si="5"/>
        <v>469</v>
      </c>
      <c r="V17" s="46">
        <f t="shared" si="6"/>
        <v>941.5</v>
      </c>
      <c r="W17" s="47" t="str">
        <f t="shared" si="1"/>
        <v>19:00-20:00</v>
      </c>
      <c r="X17" s="45">
        <f>B17+B51</f>
        <v>321</v>
      </c>
      <c r="Y17" s="45">
        <f>C17+C51</f>
        <v>43</v>
      </c>
      <c r="Z17" s="45">
        <f>D17+D51</f>
        <v>24</v>
      </c>
      <c r="AA17" s="45">
        <f>E17+E51</f>
        <v>75</v>
      </c>
      <c r="AB17" s="45">
        <f>F17+F51</f>
        <v>44</v>
      </c>
      <c r="AC17" s="45">
        <f>G17+G51</f>
        <v>33</v>
      </c>
      <c r="AD17" s="45">
        <f>H17+H51</f>
        <v>188</v>
      </c>
      <c r="AE17" s="45">
        <f>I17+I51</f>
        <v>0</v>
      </c>
      <c r="AF17" s="45">
        <f>J17+J51</f>
        <v>299</v>
      </c>
      <c r="AG17" s="45">
        <f>K17+K51</f>
        <v>18</v>
      </c>
      <c r="AH17" s="45">
        <f>L17+L51</f>
        <v>2</v>
      </c>
      <c r="AI17" s="45">
        <f>M17+M51</f>
        <v>0</v>
      </c>
      <c r="AJ17" s="45">
        <f>N17+N51</f>
        <v>0</v>
      </c>
      <c r="AK17" s="45">
        <f>O17+O51</f>
        <v>0</v>
      </c>
      <c r="AL17" s="45">
        <f>P17+P51</f>
        <v>0</v>
      </c>
      <c r="AM17" s="45">
        <f>Q17+Q51</f>
        <v>681</v>
      </c>
      <c r="AN17" s="45">
        <f>R17+R51</f>
        <v>366</v>
      </c>
      <c r="AO17" s="45">
        <f>S17+S51</f>
        <v>1047</v>
      </c>
      <c r="AP17" s="45">
        <f>T17+T51</f>
        <v>0</v>
      </c>
      <c r="AQ17" s="45">
        <f>U17+U51</f>
        <v>1047</v>
      </c>
      <c r="AR17" s="45">
        <f>V17+V51</f>
        <v>1834</v>
      </c>
    </row>
    <row r="18" spans="1:44" x14ac:dyDescent="0.3">
      <c r="A18" s="62" t="str">
        <f>'Day-6'!A18</f>
        <v>20:00-21:00</v>
      </c>
      <c r="B18" s="108">
        <v>79</v>
      </c>
      <c r="C18" s="140">
        <v>17</v>
      </c>
      <c r="D18" s="108">
        <v>12</v>
      </c>
      <c r="E18" s="108">
        <v>29</v>
      </c>
      <c r="F18" s="108">
        <v>19</v>
      </c>
      <c r="G18" s="108">
        <v>11</v>
      </c>
      <c r="H18" s="108">
        <v>100</v>
      </c>
      <c r="I18" s="108">
        <v>0</v>
      </c>
      <c r="J18" s="108">
        <v>101</v>
      </c>
      <c r="K18" s="108">
        <v>18</v>
      </c>
      <c r="L18" s="108">
        <v>2</v>
      </c>
      <c r="M18" s="108">
        <v>0</v>
      </c>
      <c r="N18" s="108">
        <v>0</v>
      </c>
      <c r="O18" s="108">
        <v>0</v>
      </c>
      <c r="P18" s="108">
        <v>0</v>
      </c>
      <c r="Q18" s="63">
        <f t="shared" si="2"/>
        <v>215</v>
      </c>
      <c r="R18" s="45">
        <f t="shared" si="3"/>
        <v>173</v>
      </c>
      <c r="S18" s="45">
        <f t="shared" si="0"/>
        <v>388</v>
      </c>
      <c r="T18" s="45">
        <f t="shared" si="4"/>
        <v>0</v>
      </c>
      <c r="U18" s="45">
        <f t="shared" si="5"/>
        <v>388</v>
      </c>
      <c r="V18" s="46">
        <f t="shared" si="6"/>
        <v>797</v>
      </c>
      <c r="W18" s="47" t="str">
        <f t="shared" si="1"/>
        <v>20:00-21:00</v>
      </c>
      <c r="X18" s="45">
        <f>B18+B52</f>
        <v>204</v>
      </c>
      <c r="Y18" s="45">
        <f>C18+C52</f>
        <v>34</v>
      </c>
      <c r="Z18" s="45">
        <f>D18+D52</f>
        <v>28</v>
      </c>
      <c r="AA18" s="45">
        <f>E18+E52</f>
        <v>58</v>
      </c>
      <c r="AB18" s="45">
        <f>F18+F52</f>
        <v>44</v>
      </c>
      <c r="AC18" s="45">
        <f>G18+G52</f>
        <v>24</v>
      </c>
      <c r="AD18" s="45">
        <f>H18+H52</f>
        <v>175</v>
      </c>
      <c r="AE18" s="45">
        <f>I18+I52</f>
        <v>0</v>
      </c>
      <c r="AF18" s="45">
        <f>J18+J52</f>
        <v>243</v>
      </c>
      <c r="AG18" s="45">
        <f>K18+K52</f>
        <v>30</v>
      </c>
      <c r="AH18" s="45">
        <f>L18+L52</f>
        <v>2</v>
      </c>
      <c r="AI18" s="45">
        <f>M18+M52</f>
        <v>0</v>
      </c>
      <c r="AJ18" s="45">
        <f>N18+N52</f>
        <v>0</v>
      </c>
      <c r="AK18" s="45">
        <f>O18+O52</f>
        <v>0</v>
      </c>
      <c r="AL18" s="45">
        <f>P18+P52</f>
        <v>0</v>
      </c>
      <c r="AM18" s="45">
        <f>Q18+Q52</f>
        <v>511</v>
      </c>
      <c r="AN18" s="45">
        <f>R18+R52</f>
        <v>331</v>
      </c>
      <c r="AO18" s="45">
        <f>S18+S52</f>
        <v>842</v>
      </c>
      <c r="AP18" s="45">
        <f>T18+T52</f>
        <v>0</v>
      </c>
      <c r="AQ18" s="45">
        <f>U18+U52</f>
        <v>842</v>
      </c>
      <c r="AR18" s="45">
        <f>V18+V52</f>
        <v>1567</v>
      </c>
    </row>
    <row r="19" spans="1:44" x14ac:dyDescent="0.3">
      <c r="A19" s="62" t="str">
        <f>'Day-6'!A19</f>
        <v>21:00-22:00</v>
      </c>
      <c r="B19" s="108">
        <v>52</v>
      </c>
      <c r="C19" s="142">
        <v>27</v>
      </c>
      <c r="D19" s="108">
        <v>16</v>
      </c>
      <c r="E19" s="108">
        <v>15</v>
      </c>
      <c r="F19" s="108">
        <v>19</v>
      </c>
      <c r="G19" s="108">
        <v>11</v>
      </c>
      <c r="H19" s="108">
        <v>121</v>
      </c>
      <c r="I19" s="108">
        <v>0</v>
      </c>
      <c r="J19" s="108">
        <v>37</v>
      </c>
      <c r="K19" s="108">
        <v>10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66">
        <f t="shared" si="2"/>
        <v>126</v>
      </c>
      <c r="R19" s="59">
        <f t="shared" si="3"/>
        <v>182</v>
      </c>
      <c r="S19" s="59">
        <f t="shared" si="0"/>
        <v>308</v>
      </c>
      <c r="T19" s="59">
        <f t="shared" si="4"/>
        <v>0</v>
      </c>
      <c r="U19" s="59">
        <f t="shared" si="5"/>
        <v>308</v>
      </c>
      <c r="V19" s="60">
        <f t="shared" si="6"/>
        <v>834.5</v>
      </c>
      <c r="W19" s="47" t="str">
        <f t="shared" si="1"/>
        <v>21:00-22:00</v>
      </c>
      <c r="X19" s="45">
        <f>B19+B53</f>
        <v>156</v>
      </c>
      <c r="Y19" s="45">
        <f>C19+C53</f>
        <v>39</v>
      </c>
      <c r="Z19" s="45">
        <f>D19+D53</f>
        <v>25</v>
      </c>
      <c r="AA19" s="45">
        <f>E19+E53</f>
        <v>37</v>
      </c>
      <c r="AB19" s="45">
        <f>F19+F53</f>
        <v>30</v>
      </c>
      <c r="AC19" s="45">
        <f>G19+G53</f>
        <v>22</v>
      </c>
      <c r="AD19" s="45">
        <f>H19+H53</f>
        <v>214</v>
      </c>
      <c r="AE19" s="45">
        <f>I19+I53</f>
        <v>0</v>
      </c>
      <c r="AF19" s="45">
        <f>J19+J53</f>
        <v>118</v>
      </c>
      <c r="AG19" s="45">
        <f>K19+K53</f>
        <v>14</v>
      </c>
      <c r="AH19" s="45">
        <f>L19+L53</f>
        <v>0</v>
      </c>
      <c r="AI19" s="45">
        <f>M19+M53</f>
        <v>0</v>
      </c>
      <c r="AJ19" s="45">
        <f>N19+N53</f>
        <v>0</v>
      </c>
      <c r="AK19" s="45">
        <f>O19+O53</f>
        <v>0</v>
      </c>
      <c r="AL19" s="45">
        <f>P19+P53</f>
        <v>0</v>
      </c>
      <c r="AM19" s="45">
        <f>Q19+Q53</f>
        <v>327</v>
      </c>
      <c r="AN19" s="45">
        <f>R19+R53</f>
        <v>328</v>
      </c>
      <c r="AO19" s="45">
        <f>S19+S53</f>
        <v>655</v>
      </c>
      <c r="AP19" s="45">
        <f>T19+T53</f>
        <v>0</v>
      </c>
      <c r="AQ19" s="45">
        <f>U19+U53</f>
        <v>655</v>
      </c>
      <c r="AR19" s="45">
        <f>V19+V53</f>
        <v>1545.5</v>
      </c>
    </row>
    <row r="20" spans="1:44" x14ac:dyDescent="0.3">
      <c r="A20" s="62" t="str">
        <f>'Day-6'!A20</f>
        <v>22:00-23:00</v>
      </c>
      <c r="B20" s="108">
        <v>48</v>
      </c>
      <c r="C20" s="140">
        <v>5</v>
      </c>
      <c r="D20" s="108">
        <v>15</v>
      </c>
      <c r="E20" s="108">
        <v>10</v>
      </c>
      <c r="F20" s="108">
        <v>18</v>
      </c>
      <c r="G20" s="108">
        <v>8</v>
      </c>
      <c r="H20" s="108">
        <v>120</v>
      </c>
      <c r="I20" s="108">
        <v>0</v>
      </c>
      <c r="J20" s="108">
        <v>46</v>
      </c>
      <c r="K20" s="108">
        <v>7</v>
      </c>
      <c r="L20" s="108">
        <v>3</v>
      </c>
      <c r="M20" s="108">
        <v>0</v>
      </c>
      <c r="N20" s="108">
        <v>0</v>
      </c>
      <c r="O20" s="108">
        <v>0</v>
      </c>
      <c r="P20" s="108">
        <v>0</v>
      </c>
      <c r="Q20" s="66">
        <f t="shared" si="2"/>
        <v>106</v>
      </c>
      <c r="R20" s="59">
        <f t="shared" si="3"/>
        <v>174</v>
      </c>
      <c r="S20" s="59">
        <f t="shared" si="0"/>
        <v>280</v>
      </c>
      <c r="T20" s="59">
        <f t="shared" si="4"/>
        <v>0</v>
      </c>
      <c r="U20" s="59">
        <f t="shared" si="5"/>
        <v>280</v>
      </c>
      <c r="V20" s="60">
        <f t="shared" si="6"/>
        <v>745.5</v>
      </c>
      <c r="W20" s="47" t="str">
        <f t="shared" si="1"/>
        <v>22:00-23:00</v>
      </c>
      <c r="X20" s="45">
        <f>B20+B54</f>
        <v>105</v>
      </c>
      <c r="Y20" s="45">
        <f>C20+C54</f>
        <v>10</v>
      </c>
      <c r="Z20" s="45">
        <f>D20+D54</f>
        <v>26</v>
      </c>
      <c r="AA20" s="45">
        <f>E20+E54</f>
        <v>37</v>
      </c>
      <c r="AB20" s="45">
        <f>F20+F54</f>
        <v>28</v>
      </c>
      <c r="AC20" s="45">
        <f>G20+G54</f>
        <v>13</v>
      </c>
      <c r="AD20" s="45">
        <f>H20+H54</f>
        <v>234</v>
      </c>
      <c r="AE20" s="45">
        <f>I20+I54</f>
        <v>0</v>
      </c>
      <c r="AF20" s="45">
        <f>J20+J54</f>
        <v>96</v>
      </c>
      <c r="AG20" s="45">
        <f>K20+K54</f>
        <v>10</v>
      </c>
      <c r="AH20" s="45">
        <f>L20+L54</f>
        <v>3</v>
      </c>
      <c r="AI20" s="45">
        <f>M20+M54</f>
        <v>3</v>
      </c>
      <c r="AJ20" s="45">
        <f>N20+N54</f>
        <v>0</v>
      </c>
      <c r="AK20" s="45">
        <f>O20+O54</f>
        <v>0</v>
      </c>
      <c r="AL20" s="45">
        <f>P20+P54</f>
        <v>0</v>
      </c>
      <c r="AM20" s="45">
        <f>Q20+Q54</f>
        <v>221</v>
      </c>
      <c r="AN20" s="45">
        <f>R20+R54</f>
        <v>344</v>
      </c>
      <c r="AO20" s="45">
        <f>S20+S54</f>
        <v>565</v>
      </c>
      <c r="AP20" s="45">
        <f>T20+T54</f>
        <v>0</v>
      </c>
      <c r="AQ20" s="45">
        <f>U20+U54</f>
        <v>565</v>
      </c>
      <c r="AR20" s="45">
        <f>V20+V54</f>
        <v>1468.5</v>
      </c>
    </row>
    <row r="21" spans="1:44" x14ac:dyDescent="0.3">
      <c r="A21" s="62" t="str">
        <f>'Day-6'!A21</f>
        <v>23:00-00:00</v>
      </c>
      <c r="B21" s="108">
        <v>36</v>
      </c>
      <c r="C21" s="140">
        <v>2</v>
      </c>
      <c r="D21" s="108">
        <v>23</v>
      </c>
      <c r="E21" s="108">
        <v>14</v>
      </c>
      <c r="F21" s="108">
        <v>13</v>
      </c>
      <c r="G21" s="108">
        <v>3</v>
      </c>
      <c r="H21" s="108">
        <v>148</v>
      </c>
      <c r="I21" s="108">
        <v>0</v>
      </c>
      <c r="J21" s="108">
        <v>14</v>
      </c>
      <c r="K21" s="108">
        <v>2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66">
        <f t="shared" si="2"/>
        <v>54</v>
      </c>
      <c r="R21" s="59">
        <f t="shared" si="3"/>
        <v>201</v>
      </c>
      <c r="S21" s="59">
        <f t="shared" si="0"/>
        <v>255</v>
      </c>
      <c r="T21" s="59">
        <f t="shared" si="4"/>
        <v>0</v>
      </c>
      <c r="U21" s="59">
        <f t="shared" si="5"/>
        <v>255</v>
      </c>
      <c r="V21" s="60">
        <f t="shared" si="6"/>
        <v>809</v>
      </c>
      <c r="W21" s="47" t="str">
        <f t="shared" si="1"/>
        <v>23:00-00:00</v>
      </c>
      <c r="X21" s="45">
        <f>B21+B55</f>
        <v>81</v>
      </c>
      <c r="Y21" s="45">
        <f>C21+C55</f>
        <v>5</v>
      </c>
      <c r="Z21" s="45">
        <f>D21+D55</f>
        <v>50</v>
      </c>
      <c r="AA21" s="45">
        <f>E21+E55</f>
        <v>33</v>
      </c>
      <c r="AB21" s="45">
        <f>F21+F55</f>
        <v>30</v>
      </c>
      <c r="AC21" s="45">
        <f>G21+G55</f>
        <v>10</v>
      </c>
      <c r="AD21" s="45">
        <f>H21+H55</f>
        <v>311</v>
      </c>
      <c r="AE21" s="45">
        <f>I21+I55</f>
        <v>0</v>
      </c>
      <c r="AF21" s="45">
        <f>J21+J55</f>
        <v>35</v>
      </c>
      <c r="AG21" s="45">
        <f>K21+K55</f>
        <v>4</v>
      </c>
      <c r="AH21" s="45">
        <f>L21+L55</f>
        <v>0</v>
      </c>
      <c r="AI21" s="45">
        <f>M21+M55</f>
        <v>0</v>
      </c>
      <c r="AJ21" s="45">
        <f>N21+N55</f>
        <v>0</v>
      </c>
      <c r="AK21" s="45">
        <f>O21+O55</f>
        <v>0</v>
      </c>
      <c r="AL21" s="45">
        <f>P21+P55</f>
        <v>0</v>
      </c>
      <c r="AM21" s="45">
        <f>Q21+Q55</f>
        <v>125</v>
      </c>
      <c r="AN21" s="45">
        <f>R21+R55</f>
        <v>434</v>
      </c>
      <c r="AO21" s="45">
        <f>S21+S55</f>
        <v>559</v>
      </c>
      <c r="AP21" s="45">
        <f>T21+T55</f>
        <v>0</v>
      </c>
      <c r="AQ21" s="45">
        <f>U21+U55</f>
        <v>559</v>
      </c>
      <c r="AR21" s="45">
        <f>V21+V55</f>
        <v>1736.5</v>
      </c>
    </row>
    <row r="22" spans="1:44" x14ac:dyDescent="0.3">
      <c r="A22" s="62" t="str">
        <f>'Day-6'!A22</f>
        <v>00:00-01:00</v>
      </c>
      <c r="B22" s="108">
        <v>17</v>
      </c>
      <c r="C22" s="140">
        <v>5</v>
      </c>
      <c r="D22" s="108">
        <v>13</v>
      </c>
      <c r="E22" s="108">
        <v>15</v>
      </c>
      <c r="F22" s="108">
        <v>7</v>
      </c>
      <c r="G22" s="108">
        <v>6</v>
      </c>
      <c r="H22" s="108">
        <v>84</v>
      </c>
      <c r="I22" s="108">
        <v>0</v>
      </c>
      <c r="J22" s="108">
        <v>13</v>
      </c>
      <c r="K22" s="108">
        <v>0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66">
        <f t="shared" si="2"/>
        <v>35</v>
      </c>
      <c r="R22" s="59">
        <f t="shared" si="3"/>
        <v>125</v>
      </c>
      <c r="S22" s="59">
        <f t="shared" si="0"/>
        <v>160</v>
      </c>
      <c r="T22" s="59">
        <f t="shared" si="4"/>
        <v>0</v>
      </c>
      <c r="U22" s="59">
        <f t="shared" si="5"/>
        <v>160</v>
      </c>
      <c r="V22" s="60">
        <f t="shared" si="6"/>
        <v>491</v>
      </c>
      <c r="W22" s="47" t="str">
        <f t="shared" si="1"/>
        <v>00:00-01:00</v>
      </c>
      <c r="X22" s="45">
        <f>B22+B56</f>
        <v>29</v>
      </c>
      <c r="Y22" s="45">
        <f>C22+C56</f>
        <v>11</v>
      </c>
      <c r="Z22" s="45">
        <f>D22+D56</f>
        <v>24</v>
      </c>
      <c r="AA22" s="45">
        <f>E22+E56</f>
        <v>27</v>
      </c>
      <c r="AB22" s="45">
        <f>F22+F56</f>
        <v>20</v>
      </c>
      <c r="AC22" s="45">
        <f>G22+G56</f>
        <v>12</v>
      </c>
      <c r="AD22" s="45">
        <f>H22+H56</f>
        <v>156</v>
      </c>
      <c r="AE22" s="45">
        <f>I22+I56</f>
        <v>0</v>
      </c>
      <c r="AF22" s="45">
        <f>J22+J56</f>
        <v>27</v>
      </c>
      <c r="AG22" s="45">
        <f>K22+K56</f>
        <v>0</v>
      </c>
      <c r="AH22" s="45">
        <f>L22+L56</f>
        <v>0</v>
      </c>
      <c r="AI22" s="45">
        <f>M22+M56</f>
        <v>0</v>
      </c>
      <c r="AJ22" s="45">
        <f>N22+N56</f>
        <v>0</v>
      </c>
      <c r="AK22" s="45">
        <f>O22+O56</f>
        <v>0</v>
      </c>
      <c r="AL22" s="45">
        <f>P22+P56</f>
        <v>0</v>
      </c>
      <c r="AM22" s="45">
        <f>Q22+Q56</f>
        <v>67</v>
      </c>
      <c r="AN22" s="45">
        <f>R22+R56</f>
        <v>239</v>
      </c>
      <c r="AO22" s="45">
        <f>S22+S56</f>
        <v>306</v>
      </c>
      <c r="AP22" s="45">
        <f>T22+T56</f>
        <v>0</v>
      </c>
      <c r="AQ22" s="45">
        <f>U22+U56</f>
        <v>306</v>
      </c>
      <c r="AR22" s="45">
        <f>V22+V56</f>
        <v>938</v>
      </c>
    </row>
    <row r="23" spans="1:44" x14ac:dyDescent="0.3">
      <c r="A23" s="62" t="str">
        <f>'Day-6'!A23</f>
        <v>01:00-02:00</v>
      </c>
      <c r="B23" s="108">
        <v>6</v>
      </c>
      <c r="C23" s="140">
        <v>5</v>
      </c>
      <c r="D23" s="108">
        <v>10</v>
      </c>
      <c r="E23" s="108">
        <v>16</v>
      </c>
      <c r="F23" s="108">
        <v>10</v>
      </c>
      <c r="G23" s="108">
        <v>6</v>
      </c>
      <c r="H23" s="108">
        <v>104</v>
      </c>
      <c r="I23" s="108">
        <v>0</v>
      </c>
      <c r="J23" s="108">
        <v>7</v>
      </c>
      <c r="K23" s="108">
        <v>0</v>
      </c>
      <c r="L23" s="108">
        <v>0</v>
      </c>
      <c r="M23" s="108">
        <v>2</v>
      </c>
      <c r="N23" s="108">
        <v>0</v>
      </c>
      <c r="O23" s="108">
        <v>0</v>
      </c>
      <c r="P23" s="108">
        <v>0</v>
      </c>
      <c r="Q23" s="66">
        <f t="shared" si="2"/>
        <v>18</v>
      </c>
      <c r="R23" s="59">
        <f t="shared" si="3"/>
        <v>148</v>
      </c>
      <c r="S23" s="59">
        <f t="shared" si="0"/>
        <v>166</v>
      </c>
      <c r="T23" s="59">
        <f t="shared" si="4"/>
        <v>0</v>
      </c>
      <c r="U23" s="59">
        <f t="shared" si="5"/>
        <v>166</v>
      </c>
      <c r="V23" s="60">
        <f t="shared" si="6"/>
        <v>583.5</v>
      </c>
      <c r="W23" s="47" t="str">
        <f t="shared" si="1"/>
        <v>01:00-02:00</v>
      </c>
      <c r="X23" s="45">
        <f>B23+B57</f>
        <v>22</v>
      </c>
      <c r="Y23" s="45">
        <f>C23+C57</f>
        <v>10</v>
      </c>
      <c r="Z23" s="45">
        <f>D23+D57</f>
        <v>19</v>
      </c>
      <c r="AA23" s="45">
        <f>E23+E57</f>
        <v>27</v>
      </c>
      <c r="AB23" s="45">
        <f>F23+F57</f>
        <v>23</v>
      </c>
      <c r="AC23" s="45">
        <f>G23+G57</f>
        <v>27</v>
      </c>
      <c r="AD23" s="45">
        <f>H23+H57</f>
        <v>191</v>
      </c>
      <c r="AE23" s="45">
        <f>I23+I57</f>
        <v>0</v>
      </c>
      <c r="AF23" s="45">
        <f>J23+J57</f>
        <v>14</v>
      </c>
      <c r="AG23" s="45">
        <f>K23+K57</f>
        <v>0</v>
      </c>
      <c r="AH23" s="45">
        <f>L23+L57</f>
        <v>0</v>
      </c>
      <c r="AI23" s="45">
        <f>M23+M57</f>
        <v>5</v>
      </c>
      <c r="AJ23" s="45">
        <f>N23+N57</f>
        <v>0</v>
      </c>
      <c r="AK23" s="45">
        <f>O23+O57</f>
        <v>0</v>
      </c>
      <c r="AL23" s="45">
        <f>P23+P57</f>
        <v>0</v>
      </c>
      <c r="AM23" s="45">
        <f>Q23+Q57</f>
        <v>46</v>
      </c>
      <c r="AN23" s="45">
        <f>R23+R57</f>
        <v>292</v>
      </c>
      <c r="AO23" s="45">
        <f>S23+S57</f>
        <v>338</v>
      </c>
      <c r="AP23" s="45">
        <f>T23+T57</f>
        <v>0</v>
      </c>
      <c r="AQ23" s="45">
        <f>U23+U57</f>
        <v>338</v>
      </c>
      <c r="AR23" s="45">
        <f>V23+V57</f>
        <v>1150.5</v>
      </c>
    </row>
    <row r="24" spans="1:44" x14ac:dyDescent="0.3">
      <c r="A24" s="62" t="str">
        <f>'Day-6'!A24</f>
        <v>02:00-03:00</v>
      </c>
      <c r="B24" s="108">
        <v>12</v>
      </c>
      <c r="C24" s="140">
        <v>5</v>
      </c>
      <c r="D24" s="108">
        <v>18</v>
      </c>
      <c r="E24" s="108">
        <v>10</v>
      </c>
      <c r="F24" s="108">
        <v>3</v>
      </c>
      <c r="G24" s="108">
        <v>6</v>
      </c>
      <c r="H24" s="108">
        <v>101</v>
      </c>
      <c r="I24" s="108">
        <v>0</v>
      </c>
      <c r="J24" s="108">
        <v>15</v>
      </c>
      <c r="K24" s="108">
        <v>5</v>
      </c>
      <c r="L24" s="108">
        <v>0</v>
      </c>
      <c r="M24" s="108">
        <v>2</v>
      </c>
      <c r="N24" s="108">
        <v>0</v>
      </c>
      <c r="O24" s="108">
        <v>0</v>
      </c>
      <c r="P24" s="108">
        <v>0</v>
      </c>
      <c r="Q24" s="66">
        <f t="shared" si="2"/>
        <v>37</v>
      </c>
      <c r="R24" s="59">
        <f t="shared" si="3"/>
        <v>140</v>
      </c>
      <c r="S24" s="59">
        <f t="shared" si="0"/>
        <v>177</v>
      </c>
      <c r="T24" s="59">
        <f t="shared" si="4"/>
        <v>0</v>
      </c>
      <c r="U24" s="59">
        <f t="shared" si="5"/>
        <v>177</v>
      </c>
      <c r="V24" s="60">
        <f t="shared" si="6"/>
        <v>563</v>
      </c>
      <c r="W24" s="47" t="str">
        <f t="shared" si="1"/>
        <v>02:00-03:00</v>
      </c>
      <c r="X24" s="45">
        <f>B24+B58</f>
        <v>22</v>
      </c>
      <c r="Y24" s="45">
        <f>C24+C58</f>
        <v>13</v>
      </c>
      <c r="Z24" s="45">
        <f>D24+D58</f>
        <v>21</v>
      </c>
      <c r="AA24" s="45">
        <f>E24+E58</f>
        <v>20</v>
      </c>
      <c r="AB24" s="45">
        <f>F24+F58</f>
        <v>13</v>
      </c>
      <c r="AC24" s="45">
        <f>G24+G58</f>
        <v>36</v>
      </c>
      <c r="AD24" s="45">
        <f>H24+H58</f>
        <v>177</v>
      </c>
      <c r="AE24" s="45">
        <f>I24+I58</f>
        <v>0</v>
      </c>
      <c r="AF24" s="45">
        <f>J24+J58</f>
        <v>31</v>
      </c>
      <c r="AG24" s="45">
        <f>K24+K58</f>
        <v>7</v>
      </c>
      <c r="AH24" s="45">
        <f>L24+L58</f>
        <v>0</v>
      </c>
      <c r="AI24" s="45">
        <f>M24+M58</f>
        <v>2</v>
      </c>
      <c r="AJ24" s="45">
        <f>N24+N58</f>
        <v>0</v>
      </c>
      <c r="AK24" s="45">
        <f>O24+O58</f>
        <v>0</v>
      </c>
      <c r="AL24" s="45">
        <f>P24+P58</f>
        <v>0</v>
      </c>
      <c r="AM24" s="45">
        <f>Q24+Q58</f>
        <v>73</v>
      </c>
      <c r="AN24" s="45">
        <f>R24+R58</f>
        <v>269</v>
      </c>
      <c r="AO24" s="45">
        <f>S24+S58</f>
        <v>342</v>
      </c>
      <c r="AP24" s="45">
        <f>T24+T58</f>
        <v>0</v>
      </c>
      <c r="AQ24" s="45">
        <f>U24+U58</f>
        <v>342</v>
      </c>
      <c r="AR24" s="45">
        <f>V24+V58</f>
        <v>1087</v>
      </c>
    </row>
    <row r="25" spans="1:44" x14ac:dyDescent="0.3">
      <c r="A25" s="62" t="str">
        <f>'Day-6'!A25</f>
        <v>03:00-04:00</v>
      </c>
      <c r="B25" s="108">
        <v>44</v>
      </c>
      <c r="C25" s="140">
        <v>3</v>
      </c>
      <c r="D25" s="108">
        <v>12</v>
      </c>
      <c r="E25" s="108">
        <v>7</v>
      </c>
      <c r="F25" s="108">
        <v>10</v>
      </c>
      <c r="G25" s="108">
        <v>8</v>
      </c>
      <c r="H25" s="108">
        <v>69</v>
      </c>
      <c r="I25" s="108">
        <v>0</v>
      </c>
      <c r="J25" s="108">
        <v>27</v>
      </c>
      <c r="K25" s="108">
        <v>11</v>
      </c>
      <c r="L25" s="108">
        <v>0</v>
      </c>
      <c r="M25" s="108">
        <v>8</v>
      </c>
      <c r="N25" s="108">
        <v>0</v>
      </c>
      <c r="O25" s="108">
        <v>0</v>
      </c>
      <c r="P25" s="108">
        <v>0</v>
      </c>
      <c r="Q25" s="66">
        <f t="shared" si="2"/>
        <v>85</v>
      </c>
      <c r="R25" s="59">
        <f t="shared" si="3"/>
        <v>114</v>
      </c>
      <c r="S25" s="59">
        <f t="shared" si="0"/>
        <v>199</v>
      </c>
      <c r="T25" s="59">
        <f t="shared" si="4"/>
        <v>0</v>
      </c>
      <c r="U25" s="59">
        <f t="shared" si="5"/>
        <v>199</v>
      </c>
      <c r="V25" s="60">
        <f t="shared" si="6"/>
        <v>500.5</v>
      </c>
      <c r="W25" s="47" t="str">
        <f t="shared" si="1"/>
        <v>03:00-04:00</v>
      </c>
      <c r="X25" s="45">
        <f>B25+B59</f>
        <v>78</v>
      </c>
      <c r="Y25" s="45">
        <f>C25+C59</f>
        <v>12</v>
      </c>
      <c r="Z25" s="45">
        <f>D25+D59</f>
        <v>20</v>
      </c>
      <c r="AA25" s="45">
        <f>E25+E59</f>
        <v>20</v>
      </c>
      <c r="AB25" s="45">
        <f>F25+F59</f>
        <v>20</v>
      </c>
      <c r="AC25" s="45">
        <f>G25+G59</f>
        <v>31</v>
      </c>
      <c r="AD25" s="45">
        <f>H25+H59</f>
        <v>150</v>
      </c>
      <c r="AE25" s="45">
        <f>I25+I59</f>
        <v>0</v>
      </c>
      <c r="AF25" s="45">
        <f>J25+J59</f>
        <v>119</v>
      </c>
      <c r="AG25" s="45">
        <f>K25+K59</f>
        <v>21</v>
      </c>
      <c r="AH25" s="45">
        <f>L25+L59</f>
        <v>0</v>
      </c>
      <c r="AI25" s="45">
        <f>M25+M59</f>
        <v>11</v>
      </c>
      <c r="AJ25" s="45">
        <f>N25+N59</f>
        <v>0</v>
      </c>
      <c r="AK25" s="45">
        <f>O25+O59</f>
        <v>0</v>
      </c>
      <c r="AL25" s="45">
        <f>P25+P59</f>
        <v>0</v>
      </c>
      <c r="AM25" s="45">
        <f>Q25+Q59</f>
        <v>230</v>
      </c>
      <c r="AN25" s="45">
        <f>R25+R59</f>
        <v>252</v>
      </c>
      <c r="AO25" s="45">
        <f>S25+S59</f>
        <v>482</v>
      </c>
      <c r="AP25" s="45">
        <f>T25+T59</f>
        <v>0</v>
      </c>
      <c r="AQ25" s="45">
        <f>U25+U59</f>
        <v>482</v>
      </c>
      <c r="AR25" s="45">
        <f>V25+V59</f>
        <v>1122</v>
      </c>
    </row>
    <row r="26" spans="1:44" x14ac:dyDescent="0.3">
      <c r="A26" s="62" t="str">
        <f>'Day-6'!A26</f>
        <v>04:00-05:00</v>
      </c>
      <c r="B26" s="108">
        <v>49</v>
      </c>
      <c r="C26" s="140">
        <v>7</v>
      </c>
      <c r="D26" s="108">
        <v>15</v>
      </c>
      <c r="E26" s="108">
        <v>19</v>
      </c>
      <c r="F26" s="108">
        <v>17</v>
      </c>
      <c r="G26" s="108">
        <v>13</v>
      </c>
      <c r="H26" s="108">
        <v>63</v>
      </c>
      <c r="I26" s="108">
        <v>0</v>
      </c>
      <c r="J26" s="108">
        <v>123</v>
      </c>
      <c r="K26" s="108">
        <v>24</v>
      </c>
      <c r="L26" s="108">
        <v>0</v>
      </c>
      <c r="M26" s="108">
        <v>4</v>
      </c>
      <c r="N26" s="108">
        <v>0</v>
      </c>
      <c r="O26" s="108">
        <v>0</v>
      </c>
      <c r="P26" s="108">
        <v>0</v>
      </c>
      <c r="Q26" s="66">
        <f t="shared" si="2"/>
        <v>203</v>
      </c>
      <c r="R26" s="59">
        <f t="shared" si="3"/>
        <v>131</v>
      </c>
      <c r="S26" s="59">
        <f t="shared" si="0"/>
        <v>334</v>
      </c>
      <c r="T26" s="59">
        <f t="shared" si="4"/>
        <v>0</v>
      </c>
      <c r="U26" s="59">
        <f t="shared" si="5"/>
        <v>334</v>
      </c>
      <c r="V26" s="60">
        <f t="shared" si="6"/>
        <v>590.5</v>
      </c>
      <c r="W26" s="47" t="str">
        <f t="shared" si="1"/>
        <v>04:00-05:00</v>
      </c>
      <c r="X26" s="45">
        <f>B26+B60</f>
        <v>116</v>
      </c>
      <c r="Y26" s="45">
        <f>C26+C60</f>
        <v>35</v>
      </c>
      <c r="Z26" s="45">
        <f>D26+D60</f>
        <v>19</v>
      </c>
      <c r="AA26" s="45">
        <f>E26+E60</f>
        <v>37</v>
      </c>
      <c r="AB26" s="45">
        <f>F26+F60</f>
        <v>41</v>
      </c>
      <c r="AC26" s="45">
        <f>G26+G60</f>
        <v>25</v>
      </c>
      <c r="AD26" s="45">
        <f>H26+H60</f>
        <v>193</v>
      </c>
      <c r="AE26" s="45">
        <f>I26+I60</f>
        <v>0</v>
      </c>
      <c r="AF26" s="45">
        <f>J26+J60</f>
        <v>261</v>
      </c>
      <c r="AG26" s="45">
        <f>K26+K60</f>
        <v>42</v>
      </c>
      <c r="AH26" s="45">
        <f>L26+L60</f>
        <v>0</v>
      </c>
      <c r="AI26" s="45">
        <f>M26+M60</f>
        <v>9</v>
      </c>
      <c r="AJ26" s="45">
        <f>N26+N60</f>
        <v>0</v>
      </c>
      <c r="AK26" s="45">
        <f>O26+O60</f>
        <v>0</v>
      </c>
      <c r="AL26" s="45">
        <f>P26+P60</f>
        <v>0</v>
      </c>
      <c r="AM26" s="45">
        <f>Q26+Q60</f>
        <v>454</v>
      </c>
      <c r="AN26" s="45">
        <f>R26+R60</f>
        <v>324</v>
      </c>
      <c r="AO26" s="45">
        <f>S26+S60</f>
        <v>778</v>
      </c>
      <c r="AP26" s="45">
        <f>T26+T60</f>
        <v>0</v>
      </c>
      <c r="AQ26" s="45">
        <f>U26+U60</f>
        <v>778</v>
      </c>
      <c r="AR26" s="45">
        <f>V26+V60</f>
        <v>1575</v>
      </c>
    </row>
    <row r="27" spans="1:44" x14ac:dyDescent="0.3">
      <c r="A27" s="62" t="str">
        <f>'Day-6'!A27</f>
        <v>05:00-06:00</v>
      </c>
      <c r="B27" s="108">
        <v>76</v>
      </c>
      <c r="C27" s="140">
        <v>21</v>
      </c>
      <c r="D27" s="108">
        <v>11</v>
      </c>
      <c r="E27" s="108">
        <v>22</v>
      </c>
      <c r="F27" s="108">
        <v>11</v>
      </c>
      <c r="G27" s="108">
        <v>14</v>
      </c>
      <c r="H27" s="108">
        <v>70</v>
      </c>
      <c r="I27" s="108">
        <v>0</v>
      </c>
      <c r="J27" s="108">
        <v>168</v>
      </c>
      <c r="K27" s="108">
        <v>23</v>
      </c>
      <c r="L27" s="108">
        <v>0</v>
      </c>
      <c r="M27" s="108">
        <v>4</v>
      </c>
      <c r="N27" s="108">
        <v>3</v>
      </c>
      <c r="O27" s="108">
        <v>0</v>
      </c>
      <c r="P27" s="108">
        <v>0</v>
      </c>
      <c r="Q27" s="66">
        <f t="shared" si="2"/>
        <v>291</v>
      </c>
      <c r="R27" s="59">
        <f t="shared" si="3"/>
        <v>132</v>
      </c>
      <c r="S27" s="59">
        <f t="shared" si="0"/>
        <v>423</v>
      </c>
      <c r="T27" s="59">
        <f t="shared" si="4"/>
        <v>3</v>
      </c>
      <c r="U27" s="59">
        <f t="shared" si="5"/>
        <v>423</v>
      </c>
      <c r="V27" s="60">
        <f t="shared" si="6"/>
        <v>699.5</v>
      </c>
      <c r="W27" s="47" t="str">
        <f t="shared" si="1"/>
        <v>05:00-06:00</v>
      </c>
      <c r="X27" s="45">
        <f>B27+B61</f>
        <v>229</v>
      </c>
      <c r="Y27" s="45">
        <f>C27+C61</f>
        <v>50</v>
      </c>
      <c r="Z27" s="45">
        <f>D27+D61</f>
        <v>20</v>
      </c>
      <c r="AA27" s="45">
        <f>E27+E61</f>
        <v>45</v>
      </c>
      <c r="AB27" s="45">
        <f>F27+F61</f>
        <v>39</v>
      </c>
      <c r="AC27" s="45">
        <f>G27+G61</f>
        <v>23</v>
      </c>
      <c r="AD27" s="45">
        <f>H27+H61</f>
        <v>217</v>
      </c>
      <c r="AE27" s="45">
        <f>I27+I61</f>
        <v>0</v>
      </c>
      <c r="AF27" s="45">
        <f>J27+J61</f>
        <v>337</v>
      </c>
      <c r="AG27" s="45">
        <f>K27+K61</f>
        <v>36</v>
      </c>
      <c r="AH27" s="45">
        <f>L27+L61</f>
        <v>0</v>
      </c>
      <c r="AI27" s="45">
        <f>M27+M61</f>
        <v>7</v>
      </c>
      <c r="AJ27" s="45">
        <f>N27+N61</f>
        <v>3</v>
      </c>
      <c r="AK27" s="45">
        <f>O27+O61</f>
        <v>0</v>
      </c>
      <c r="AL27" s="45">
        <f>P27+P61</f>
        <v>0</v>
      </c>
      <c r="AM27" s="45">
        <f>Q27+Q61</f>
        <v>655</v>
      </c>
      <c r="AN27" s="45">
        <f>R27+R61</f>
        <v>351</v>
      </c>
      <c r="AO27" s="45">
        <f>S27+S61</f>
        <v>1006</v>
      </c>
      <c r="AP27" s="45">
        <f>T27+T61</f>
        <v>3</v>
      </c>
      <c r="AQ27" s="45">
        <f>U27+U61</f>
        <v>1006</v>
      </c>
      <c r="AR27" s="45">
        <f>V27+V61</f>
        <v>1866.5</v>
      </c>
    </row>
    <row r="28" spans="1:44" x14ac:dyDescent="0.3">
      <c r="A28" s="62" t="str">
        <f>'Day-6'!A28</f>
        <v>06:00-07:00</v>
      </c>
      <c r="B28" s="108">
        <v>120</v>
      </c>
      <c r="C28" s="140">
        <v>23</v>
      </c>
      <c r="D28" s="108">
        <v>23</v>
      </c>
      <c r="E28" s="108">
        <v>14</v>
      </c>
      <c r="F28" s="108">
        <v>12</v>
      </c>
      <c r="G28" s="108">
        <v>7</v>
      </c>
      <c r="H28" s="108">
        <v>72</v>
      </c>
      <c r="I28" s="108">
        <v>0</v>
      </c>
      <c r="J28" s="108">
        <v>221</v>
      </c>
      <c r="K28" s="108">
        <v>35</v>
      </c>
      <c r="L28" s="108">
        <v>3</v>
      </c>
      <c r="M28" s="108">
        <v>3</v>
      </c>
      <c r="N28" s="108">
        <v>0</v>
      </c>
      <c r="O28" s="108">
        <v>0</v>
      </c>
      <c r="P28" s="108">
        <v>0</v>
      </c>
      <c r="Q28" s="66">
        <f t="shared" si="2"/>
        <v>399</v>
      </c>
      <c r="R28" s="59">
        <f t="shared" si="3"/>
        <v>134</v>
      </c>
      <c r="S28" s="59">
        <f t="shared" si="0"/>
        <v>533</v>
      </c>
      <c r="T28" s="59">
        <f t="shared" si="4"/>
        <v>0</v>
      </c>
      <c r="U28" s="59">
        <f t="shared" si="5"/>
        <v>533</v>
      </c>
      <c r="V28" s="60">
        <f t="shared" si="6"/>
        <v>777.5</v>
      </c>
      <c r="W28" s="47" t="str">
        <f t="shared" si="1"/>
        <v>06:00-07:00</v>
      </c>
      <c r="X28" s="45">
        <f>B28+B62</f>
        <v>292</v>
      </c>
      <c r="Y28" s="45">
        <f>C28+C62</f>
        <v>60</v>
      </c>
      <c r="Z28" s="45">
        <f>D28+D62</f>
        <v>40</v>
      </c>
      <c r="AA28" s="45">
        <f>E28+E62</f>
        <v>26</v>
      </c>
      <c r="AB28" s="45">
        <f>F28+F62</f>
        <v>31</v>
      </c>
      <c r="AC28" s="45">
        <f>G28+G62</f>
        <v>22</v>
      </c>
      <c r="AD28" s="45">
        <f>H28+H62</f>
        <v>210</v>
      </c>
      <c r="AE28" s="45">
        <f>I28+I62</f>
        <v>0</v>
      </c>
      <c r="AF28" s="45">
        <f>J28+J62</f>
        <v>438</v>
      </c>
      <c r="AG28" s="45">
        <f>K28+K62</f>
        <v>63</v>
      </c>
      <c r="AH28" s="45">
        <f>L28+L62</f>
        <v>3</v>
      </c>
      <c r="AI28" s="45">
        <f>M28+M62</f>
        <v>7</v>
      </c>
      <c r="AJ28" s="45">
        <f>N28+N62</f>
        <v>0</v>
      </c>
      <c r="AK28" s="45">
        <f>O28+O62</f>
        <v>0</v>
      </c>
      <c r="AL28" s="45">
        <f>P28+P62</f>
        <v>0</v>
      </c>
      <c r="AM28" s="45">
        <f>Q28+Q62</f>
        <v>853</v>
      </c>
      <c r="AN28" s="45">
        <f>R28+R62</f>
        <v>339</v>
      </c>
      <c r="AO28" s="45">
        <f>S28+S62</f>
        <v>1192</v>
      </c>
      <c r="AP28" s="45">
        <f>T28+T62</f>
        <v>0</v>
      </c>
      <c r="AQ28" s="45">
        <f>U28+U62</f>
        <v>1192</v>
      </c>
      <c r="AR28" s="45">
        <f>V28+V62</f>
        <v>1973</v>
      </c>
    </row>
    <row r="29" spans="1:44" x14ac:dyDescent="0.3">
      <c r="A29" s="62" t="str">
        <f>'Day-6'!A29</f>
        <v>07:00-08:00</v>
      </c>
      <c r="B29" s="108">
        <v>204</v>
      </c>
      <c r="C29" s="140">
        <v>30</v>
      </c>
      <c r="D29" s="108">
        <v>17</v>
      </c>
      <c r="E29" s="108">
        <v>22</v>
      </c>
      <c r="F29" s="108">
        <v>17</v>
      </c>
      <c r="G29" s="108">
        <v>8</v>
      </c>
      <c r="H29" s="108">
        <v>87</v>
      </c>
      <c r="I29" s="108">
        <v>0</v>
      </c>
      <c r="J29" s="108">
        <v>315</v>
      </c>
      <c r="K29" s="108">
        <v>36</v>
      </c>
      <c r="L29" s="108">
        <v>0</v>
      </c>
      <c r="M29" s="108">
        <v>6</v>
      </c>
      <c r="N29" s="108">
        <v>0</v>
      </c>
      <c r="O29" s="108">
        <v>0</v>
      </c>
      <c r="P29" s="108">
        <v>0</v>
      </c>
      <c r="Q29" s="66">
        <f t="shared" si="2"/>
        <v>585</v>
      </c>
      <c r="R29" s="59">
        <f t="shared" si="3"/>
        <v>157</v>
      </c>
      <c r="S29" s="59">
        <f t="shared" si="0"/>
        <v>742</v>
      </c>
      <c r="T29" s="59">
        <f t="shared" si="4"/>
        <v>0</v>
      </c>
      <c r="U29" s="59">
        <f t="shared" si="5"/>
        <v>742</v>
      </c>
      <c r="V29" s="60">
        <f t="shared" si="6"/>
        <v>1031</v>
      </c>
      <c r="W29" s="47" t="str">
        <f t="shared" si="1"/>
        <v>07:00-08:00</v>
      </c>
      <c r="X29" s="45">
        <f>B29+B63</f>
        <v>466</v>
      </c>
      <c r="Y29" s="45">
        <f>C29+C63</f>
        <v>67</v>
      </c>
      <c r="Z29" s="45">
        <f>D29+D63</f>
        <v>34</v>
      </c>
      <c r="AA29" s="45">
        <f>E29+E63</f>
        <v>36</v>
      </c>
      <c r="AB29" s="45">
        <f>F29+F63</f>
        <v>34</v>
      </c>
      <c r="AC29" s="45">
        <f>G29+G63</f>
        <v>21</v>
      </c>
      <c r="AD29" s="45">
        <f>H29+H63</f>
        <v>201</v>
      </c>
      <c r="AE29" s="45">
        <f>I29+I63</f>
        <v>0</v>
      </c>
      <c r="AF29" s="45">
        <f>J29+J63</f>
        <v>626</v>
      </c>
      <c r="AG29" s="45">
        <f>K29+K63</f>
        <v>97</v>
      </c>
      <c r="AH29" s="45">
        <f>L29+L63</f>
        <v>2</v>
      </c>
      <c r="AI29" s="45">
        <f>M29+M63</f>
        <v>6</v>
      </c>
      <c r="AJ29" s="45">
        <f>N29+N63</f>
        <v>0</v>
      </c>
      <c r="AK29" s="45">
        <f>O29+O63</f>
        <v>0</v>
      </c>
      <c r="AL29" s="45">
        <f>P29+P63</f>
        <v>0</v>
      </c>
      <c r="AM29" s="45">
        <f>Q29+Q63</f>
        <v>1256</v>
      </c>
      <c r="AN29" s="45">
        <f>R29+R63</f>
        <v>334</v>
      </c>
      <c r="AO29" s="45">
        <f>S29+S63</f>
        <v>1590</v>
      </c>
      <c r="AP29" s="45">
        <f>T29+T63</f>
        <v>0</v>
      </c>
      <c r="AQ29" s="45">
        <f>U29+U63</f>
        <v>1590</v>
      </c>
      <c r="AR29" s="45">
        <f>V29+V63</f>
        <v>2264.5</v>
      </c>
    </row>
    <row r="30" spans="1:44" x14ac:dyDescent="0.3">
      <c r="A30" s="62" t="str">
        <f>'Day-6'!A30</f>
        <v>08:00-09:00</v>
      </c>
      <c r="B30" s="108">
        <v>257</v>
      </c>
      <c r="C30" s="140">
        <v>28</v>
      </c>
      <c r="D30" s="108">
        <v>12</v>
      </c>
      <c r="E30" s="108">
        <v>16</v>
      </c>
      <c r="F30" s="108">
        <v>10</v>
      </c>
      <c r="G30" s="108">
        <v>9</v>
      </c>
      <c r="H30" s="108">
        <v>94</v>
      </c>
      <c r="I30" s="108">
        <v>0</v>
      </c>
      <c r="J30" s="108">
        <v>286</v>
      </c>
      <c r="K30" s="108">
        <v>49</v>
      </c>
      <c r="L30" s="108">
        <v>3</v>
      </c>
      <c r="M30" s="108">
        <v>6</v>
      </c>
      <c r="N30" s="108">
        <v>0</v>
      </c>
      <c r="O30" s="108">
        <v>0</v>
      </c>
      <c r="P30" s="108">
        <v>0</v>
      </c>
      <c r="Q30" s="66">
        <f t="shared" si="2"/>
        <v>620</v>
      </c>
      <c r="R30" s="59">
        <f t="shared" si="3"/>
        <v>150</v>
      </c>
      <c r="S30" s="59">
        <f t="shared" si="0"/>
        <v>770</v>
      </c>
      <c r="T30" s="59">
        <f t="shared" si="4"/>
        <v>0</v>
      </c>
      <c r="U30" s="59">
        <f t="shared" si="5"/>
        <v>770</v>
      </c>
      <c r="V30" s="60">
        <f t="shared" si="6"/>
        <v>1080.5</v>
      </c>
      <c r="W30" s="47" t="str">
        <f t="shared" si="1"/>
        <v>08:00-09:00</v>
      </c>
      <c r="X30" s="45">
        <f>B30+B64</f>
        <v>515</v>
      </c>
      <c r="Y30" s="45">
        <f>C30+C64</f>
        <v>52</v>
      </c>
      <c r="Z30" s="45">
        <f>D30+D64</f>
        <v>23</v>
      </c>
      <c r="AA30" s="45">
        <f>E30+E64</f>
        <v>27</v>
      </c>
      <c r="AB30" s="45">
        <f>F30+F64</f>
        <v>36</v>
      </c>
      <c r="AC30" s="45">
        <f>G30+G64</f>
        <v>27</v>
      </c>
      <c r="AD30" s="45">
        <f>H30+H64</f>
        <v>202</v>
      </c>
      <c r="AE30" s="45">
        <f>I30+I64</f>
        <v>0</v>
      </c>
      <c r="AF30" s="45">
        <f>J30+J64</f>
        <v>585</v>
      </c>
      <c r="AG30" s="45">
        <f>K30+K64</f>
        <v>83</v>
      </c>
      <c r="AH30" s="45">
        <f>L30+L64</f>
        <v>3</v>
      </c>
      <c r="AI30" s="45">
        <f>M30+M64</f>
        <v>8</v>
      </c>
      <c r="AJ30" s="45">
        <f>N30+N64</f>
        <v>0</v>
      </c>
      <c r="AK30" s="45">
        <f>O30+O64</f>
        <v>0</v>
      </c>
      <c r="AL30" s="45">
        <f>P30+P64</f>
        <v>0</v>
      </c>
      <c r="AM30" s="45">
        <f>Q30+Q64</f>
        <v>1235</v>
      </c>
      <c r="AN30" s="45">
        <f>R30+R64</f>
        <v>326</v>
      </c>
      <c r="AO30" s="45">
        <f>S30+S64</f>
        <v>1561</v>
      </c>
      <c r="AP30" s="45">
        <f>T30+T64</f>
        <v>0</v>
      </c>
      <c r="AQ30" s="45">
        <f>U30+U64</f>
        <v>1561</v>
      </c>
      <c r="AR30" s="45">
        <f>V30+V64</f>
        <v>2248.5</v>
      </c>
    </row>
    <row r="31" spans="1:44" x14ac:dyDescent="0.3">
      <c r="A31" s="62" t="str">
        <f>'Day-6'!A31</f>
        <v>09:00-10:00</v>
      </c>
      <c r="B31" s="108">
        <v>380</v>
      </c>
      <c r="C31" s="140">
        <v>23</v>
      </c>
      <c r="D31" s="108">
        <v>16</v>
      </c>
      <c r="E31" s="108">
        <v>15</v>
      </c>
      <c r="F31" s="108">
        <v>15</v>
      </c>
      <c r="G31" s="108">
        <v>14</v>
      </c>
      <c r="H31" s="108">
        <v>95</v>
      </c>
      <c r="I31" s="108">
        <v>0</v>
      </c>
      <c r="J31" s="108">
        <v>309</v>
      </c>
      <c r="K31" s="108">
        <v>46</v>
      </c>
      <c r="L31" s="108">
        <v>2</v>
      </c>
      <c r="M31" s="108">
        <v>2</v>
      </c>
      <c r="N31" s="108">
        <v>0</v>
      </c>
      <c r="O31" s="108">
        <v>0</v>
      </c>
      <c r="P31" s="108">
        <v>0</v>
      </c>
      <c r="Q31" s="66">
        <f t="shared" si="2"/>
        <v>758</v>
      </c>
      <c r="R31" s="59">
        <f t="shared" si="3"/>
        <v>159</v>
      </c>
      <c r="S31" s="59">
        <f t="shared" si="0"/>
        <v>917</v>
      </c>
      <c r="T31" s="59">
        <f t="shared" si="4"/>
        <v>0</v>
      </c>
      <c r="U31" s="59">
        <f t="shared" si="5"/>
        <v>917</v>
      </c>
      <c r="V31" s="60">
        <f t="shared" si="6"/>
        <v>1214.5</v>
      </c>
      <c r="W31" s="47" t="str">
        <f t="shared" si="1"/>
        <v>09:00-10:00</v>
      </c>
      <c r="X31" s="45">
        <f>B31+B65</f>
        <v>777</v>
      </c>
      <c r="Y31" s="45">
        <f>C31+C65</f>
        <v>46</v>
      </c>
      <c r="Z31" s="45">
        <f>D31+D65</f>
        <v>37</v>
      </c>
      <c r="AA31" s="45">
        <f>E31+E65</f>
        <v>28</v>
      </c>
      <c r="AB31" s="45">
        <f>F31+F65</f>
        <v>58</v>
      </c>
      <c r="AC31" s="45">
        <f>G31+G65</f>
        <v>52</v>
      </c>
      <c r="AD31" s="45">
        <f>H31+H65</f>
        <v>222</v>
      </c>
      <c r="AE31" s="45">
        <f>I31+I65</f>
        <v>0</v>
      </c>
      <c r="AF31" s="45">
        <f>J31+J65</f>
        <v>710</v>
      </c>
      <c r="AG31" s="45">
        <f>K31+K65</f>
        <v>96</v>
      </c>
      <c r="AH31" s="45">
        <f>L31+L65</f>
        <v>6</v>
      </c>
      <c r="AI31" s="45">
        <f>M31+M65</f>
        <v>15</v>
      </c>
      <c r="AJ31" s="45">
        <f>N31+N65</f>
        <v>0</v>
      </c>
      <c r="AK31" s="45">
        <f>O31+O65</f>
        <v>0</v>
      </c>
      <c r="AL31" s="45">
        <f>P31+P65</f>
        <v>0</v>
      </c>
      <c r="AM31" s="45">
        <f>Q31+Q65</f>
        <v>1629</v>
      </c>
      <c r="AN31" s="45">
        <f>R31+R65</f>
        <v>418</v>
      </c>
      <c r="AO31" s="45">
        <f>S31+S65</f>
        <v>2047</v>
      </c>
      <c r="AP31" s="45">
        <f>T31+T65</f>
        <v>0</v>
      </c>
      <c r="AQ31" s="45">
        <f>U31+U65</f>
        <v>2047</v>
      </c>
      <c r="AR31" s="45">
        <f>V31+V65</f>
        <v>2850.5</v>
      </c>
    </row>
    <row r="32" spans="1:44" x14ac:dyDescent="0.3">
      <c r="A32" s="62" t="str">
        <f>'Day-6'!A32</f>
        <v>10:00-11:00</v>
      </c>
      <c r="B32" s="108">
        <v>311</v>
      </c>
      <c r="C32" s="140">
        <v>27</v>
      </c>
      <c r="D32" s="108">
        <v>19</v>
      </c>
      <c r="E32" s="108">
        <v>21</v>
      </c>
      <c r="F32" s="108">
        <v>21</v>
      </c>
      <c r="G32" s="108">
        <v>15</v>
      </c>
      <c r="H32" s="108">
        <v>59</v>
      </c>
      <c r="I32" s="108">
        <v>0</v>
      </c>
      <c r="J32" s="108">
        <v>311</v>
      </c>
      <c r="K32" s="108">
        <v>37</v>
      </c>
      <c r="L32" s="108">
        <v>0</v>
      </c>
      <c r="M32" s="108">
        <v>4</v>
      </c>
      <c r="N32" s="108">
        <v>0</v>
      </c>
      <c r="O32" s="108">
        <v>0</v>
      </c>
      <c r="P32" s="108">
        <v>0</v>
      </c>
      <c r="Q32" s="66">
        <f t="shared" si="2"/>
        <v>686</v>
      </c>
      <c r="R32" s="59">
        <f t="shared" si="3"/>
        <v>139</v>
      </c>
      <c r="S32" s="59">
        <f t="shared" si="0"/>
        <v>825</v>
      </c>
      <c r="T32" s="59">
        <f t="shared" si="4"/>
        <v>0</v>
      </c>
      <c r="U32" s="59">
        <f t="shared" si="5"/>
        <v>825</v>
      </c>
      <c r="V32" s="60">
        <f t="shared" si="6"/>
        <v>1026.5</v>
      </c>
      <c r="W32" s="47" t="str">
        <f t="shared" si="1"/>
        <v>10:00-11:00</v>
      </c>
      <c r="X32" s="45">
        <f>B32+B66</f>
        <v>683</v>
      </c>
      <c r="Y32" s="45">
        <f>C32+C66</f>
        <v>44</v>
      </c>
      <c r="Z32" s="45">
        <f>D32+D66</f>
        <v>60</v>
      </c>
      <c r="AA32" s="45">
        <f>E32+E66</f>
        <v>43</v>
      </c>
      <c r="AB32" s="45">
        <f>F32+F66</f>
        <v>90</v>
      </c>
      <c r="AC32" s="45">
        <f>G32+G66</f>
        <v>84</v>
      </c>
      <c r="AD32" s="45">
        <f>H32+H66</f>
        <v>188</v>
      </c>
      <c r="AE32" s="45">
        <f>I32+I66</f>
        <v>0</v>
      </c>
      <c r="AF32" s="45">
        <f>J32+J66</f>
        <v>578</v>
      </c>
      <c r="AG32" s="45">
        <f>K32+K66</f>
        <v>102</v>
      </c>
      <c r="AH32" s="45">
        <f>L32+L66</f>
        <v>3</v>
      </c>
      <c r="AI32" s="45">
        <f>M32+M66</f>
        <v>10</v>
      </c>
      <c r="AJ32" s="45">
        <f>N32+N66</f>
        <v>0</v>
      </c>
      <c r="AK32" s="45">
        <f>O32+O66</f>
        <v>0</v>
      </c>
      <c r="AL32" s="45">
        <f>P32+P66</f>
        <v>2</v>
      </c>
      <c r="AM32" s="45">
        <f>Q32+Q66</f>
        <v>1407</v>
      </c>
      <c r="AN32" s="45">
        <f>R32+R66</f>
        <v>480</v>
      </c>
      <c r="AO32" s="45">
        <f>S32+S66</f>
        <v>1887</v>
      </c>
      <c r="AP32" s="45">
        <f>T32+T66</f>
        <v>0</v>
      </c>
      <c r="AQ32" s="45">
        <f>U32+U66</f>
        <v>1887</v>
      </c>
      <c r="AR32" s="45">
        <f>V32+V66</f>
        <v>2757</v>
      </c>
    </row>
    <row r="33" spans="1:44" x14ac:dyDescent="0.3">
      <c r="A33" s="62" t="str">
        <f>'Day-6'!A33</f>
        <v>11:00-12:00</v>
      </c>
      <c r="B33" s="108">
        <v>205</v>
      </c>
      <c r="C33" s="140">
        <v>23</v>
      </c>
      <c r="D33" s="108">
        <v>18</v>
      </c>
      <c r="E33" s="108">
        <v>14</v>
      </c>
      <c r="F33" s="108">
        <v>12</v>
      </c>
      <c r="G33" s="108">
        <v>14</v>
      </c>
      <c r="H33" s="108">
        <v>68</v>
      </c>
      <c r="I33" s="108">
        <v>0</v>
      </c>
      <c r="J33" s="108">
        <v>262</v>
      </c>
      <c r="K33" s="108">
        <v>30</v>
      </c>
      <c r="L33" s="108">
        <v>0</v>
      </c>
      <c r="M33" s="108">
        <v>2</v>
      </c>
      <c r="N33" s="108">
        <v>0</v>
      </c>
      <c r="O33" s="108">
        <v>0</v>
      </c>
      <c r="P33" s="108">
        <v>0</v>
      </c>
      <c r="Q33" s="66">
        <f t="shared" si="2"/>
        <v>520</v>
      </c>
      <c r="R33" s="59">
        <f t="shared" si="3"/>
        <v>128</v>
      </c>
      <c r="S33" s="59">
        <f t="shared" si="0"/>
        <v>648</v>
      </c>
      <c r="T33" s="59">
        <f t="shared" si="4"/>
        <v>0</v>
      </c>
      <c r="U33" s="59">
        <f t="shared" si="5"/>
        <v>648</v>
      </c>
      <c r="V33" s="60">
        <f t="shared" si="6"/>
        <v>867</v>
      </c>
      <c r="W33" s="47" t="str">
        <f t="shared" si="1"/>
        <v>11:00-12:00</v>
      </c>
      <c r="X33" s="45">
        <f>B33+B67</f>
        <v>606</v>
      </c>
      <c r="Y33" s="45">
        <f>C33+C67</f>
        <v>44</v>
      </c>
      <c r="Z33" s="45">
        <f>D33+D67</f>
        <v>66</v>
      </c>
      <c r="AA33" s="45">
        <f>E33+E67</f>
        <v>38</v>
      </c>
      <c r="AB33" s="45">
        <f>F33+F67</f>
        <v>57</v>
      </c>
      <c r="AC33" s="45">
        <f>G33+G67</f>
        <v>56</v>
      </c>
      <c r="AD33" s="45">
        <f>H33+H67</f>
        <v>192</v>
      </c>
      <c r="AE33" s="45">
        <f>I33+I67</f>
        <v>0</v>
      </c>
      <c r="AF33" s="45">
        <f>J33+J67</f>
        <v>508</v>
      </c>
      <c r="AG33" s="45">
        <f>K33+K67</f>
        <v>60</v>
      </c>
      <c r="AH33" s="45">
        <f>L33+L67</f>
        <v>2</v>
      </c>
      <c r="AI33" s="45">
        <f>M33+M67</f>
        <v>6</v>
      </c>
      <c r="AJ33" s="45">
        <f>N33+N67</f>
        <v>0</v>
      </c>
      <c r="AK33" s="45">
        <f>O33+O67</f>
        <v>0</v>
      </c>
      <c r="AL33" s="45">
        <f>P33+P67</f>
        <v>0</v>
      </c>
      <c r="AM33" s="45">
        <f>Q33+Q67</f>
        <v>1218</v>
      </c>
      <c r="AN33" s="45">
        <f>R33+R67</f>
        <v>417</v>
      </c>
      <c r="AO33" s="45">
        <f>S33+S67</f>
        <v>1635</v>
      </c>
      <c r="AP33" s="45">
        <f>T33+T67</f>
        <v>0</v>
      </c>
      <c r="AQ33" s="45">
        <f>U33+U67</f>
        <v>1635</v>
      </c>
      <c r="AR33" s="45">
        <f>V33+V67</f>
        <v>2408</v>
      </c>
    </row>
    <row r="34" spans="1:44" x14ac:dyDescent="0.3">
      <c r="A34" s="48" t="s">
        <v>23</v>
      </c>
      <c r="B34" s="146">
        <f t="shared" ref="B34:V34" si="7">SUM(B10:B33)</f>
        <v>3318</v>
      </c>
      <c r="C34" s="94">
        <f t="shared" si="7"/>
        <v>458</v>
      </c>
      <c r="D34" s="146">
        <f t="shared" si="7"/>
        <v>430</v>
      </c>
      <c r="E34" s="110">
        <f t="shared" si="7"/>
        <v>465</v>
      </c>
      <c r="F34" s="146">
        <f t="shared" si="7"/>
        <v>346</v>
      </c>
      <c r="G34" s="146">
        <f t="shared" si="7"/>
        <v>339</v>
      </c>
      <c r="H34" s="146">
        <f t="shared" si="7"/>
        <v>2150</v>
      </c>
      <c r="I34" s="146">
        <f t="shared" si="7"/>
        <v>0</v>
      </c>
      <c r="J34" s="146">
        <f t="shared" si="7"/>
        <v>3989</v>
      </c>
      <c r="K34" s="146">
        <f t="shared" si="7"/>
        <v>576</v>
      </c>
      <c r="L34" s="146">
        <f t="shared" si="7"/>
        <v>36</v>
      </c>
      <c r="M34" s="146">
        <f t="shared" si="7"/>
        <v>53</v>
      </c>
      <c r="N34" s="146">
        <f t="shared" si="7"/>
        <v>5</v>
      </c>
      <c r="O34" s="146">
        <f t="shared" si="7"/>
        <v>0</v>
      </c>
      <c r="P34" s="146">
        <f t="shared" si="7"/>
        <v>6</v>
      </c>
      <c r="Q34" s="107">
        <f t="shared" si="7"/>
        <v>8346</v>
      </c>
      <c r="R34" s="30">
        <f t="shared" si="7"/>
        <v>3825</v>
      </c>
      <c r="S34" s="31">
        <f t="shared" si="7"/>
        <v>12171</v>
      </c>
      <c r="T34" s="30">
        <f t="shared" si="7"/>
        <v>5</v>
      </c>
      <c r="U34" s="31">
        <f t="shared" si="7"/>
        <v>12171</v>
      </c>
      <c r="V34" s="31">
        <f t="shared" si="7"/>
        <v>20442</v>
      </c>
      <c r="W34" s="48" t="s">
        <v>23</v>
      </c>
      <c r="X34" s="30">
        <f t="shared" ref="X34:AR34" si="8">SUM(X10:X33)</f>
        <v>7407</v>
      </c>
      <c r="Y34" s="30">
        <f t="shared" si="8"/>
        <v>932</v>
      </c>
      <c r="Z34" s="30">
        <f t="shared" si="8"/>
        <v>834</v>
      </c>
      <c r="AA34" s="30">
        <f t="shared" si="8"/>
        <v>928</v>
      </c>
      <c r="AB34" s="30">
        <f t="shared" si="8"/>
        <v>853</v>
      </c>
      <c r="AC34" s="30">
        <f t="shared" si="8"/>
        <v>842</v>
      </c>
      <c r="AD34" s="30">
        <f t="shared" si="8"/>
        <v>4496</v>
      </c>
      <c r="AE34" s="30">
        <f t="shared" si="8"/>
        <v>0</v>
      </c>
      <c r="AF34" s="30">
        <f t="shared" si="8"/>
        <v>8015</v>
      </c>
      <c r="AG34" s="30">
        <f t="shared" si="8"/>
        <v>1193</v>
      </c>
      <c r="AH34" s="30">
        <f t="shared" si="8"/>
        <v>55</v>
      </c>
      <c r="AI34" s="30">
        <f t="shared" si="8"/>
        <v>130</v>
      </c>
      <c r="AJ34" s="30">
        <f t="shared" si="8"/>
        <v>9</v>
      </c>
      <c r="AK34" s="30">
        <f t="shared" si="8"/>
        <v>0</v>
      </c>
      <c r="AL34" s="30">
        <f t="shared" si="8"/>
        <v>10</v>
      </c>
      <c r="AM34" s="30">
        <f t="shared" si="8"/>
        <v>17556</v>
      </c>
      <c r="AN34" s="30">
        <f t="shared" si="8"/>
        <v>8148</v>
      </c>
      <c r="AO34" s="30">
        <f t="shared" si="8"/>
        <v>25704</v>
      </c>
      <c r="AP34" s="30">
        <f t="shared" si="8"/>
        <v>9</v>
      </c>
      <c r="AQ34" s="30">
        <f t="shared" si="8"/>
        <v>25704</v>
      </c>
      <c r="AR34" s="31">
        <f t="shared" si="8"/>
        <v>43663.5</v>
      </c>
    </row>
    <row r="35" spans="1:44" x14ac:dyDescent="0.3">
      <c r="E35" s="109"/>
    </row>
    <row r="38" spans="1:44" x14ac:dyDescent="0.3">
      <c r="A38" s="150" t="s">
        <v>29</v>
      </c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</row>
    <row r="39" spans="1:44" x14ac:dyDescent="0.3">
      <c r="A39" s="143" t="str">
        <f>A5</f>
        <v xml:space="preserve">Location: </v>
      </c>
      <c r="B39" s="153" t="str">
        <f>'Day-6'!B5:P5</f>
        <v>Nathavalasa Toll Plaza</v>
      </c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5"/>
      <c r="Q39" s="143" t="str">
        <f>Q5</f>
        <v>Date:</v>
      </c>
      <c r="R39" s="156">
        <f>R5</f>
        <v>45238</v>
      </c>
      <c r="S39" s="157"/>
      <c r="T39" s="157"/>
      <c r="U39" s="157"/>
      <c r="V39" s="158"/>
    </row>
    <row r="40" spans="1:44" x14ac:dyDescent="0.3">
      <c r="A40" s="144" t="s">
        <v>207</v>
      </c>
      <c r="B40" s="153" t="str">
        <f>'Day-6'!B40:V40</f>
        <v>Anandapuram to Ranasthalam</v>
      </c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5"/>
    </row>
    <row r="41" spans="1:44" x14ac:dyDescent="0.3">
      <c r="A41" s="14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1" t="s">
        <v>2</v>
      </c>
      <c r="B42" s="171" t="s">
        <v>80</v>
      </c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0" t="s">
        <v>81</v>
      </c>
      <c r="O42" s="170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2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 t="shared" ref="A44:A67" si="9">A10</f>
        <v>12:00-13:00</v>
      </c>
      <c r="B44" s="108">
        <v>144</v>
      </c>
      <c r="C44" s="140">
        <v>31</v>
      </c>
      <c r="D44" s="108">
        <v>18</v>
      </c>
      <c r="E44" s="108">
        <v>30</v>
      </c>
      <c r="F44" s="108">
        <v>12</v>
      </c>
      <c r="G44" s="108">
        <v>23</v>
      </c>
      <c r="H44" s="108">
        <v>71</v>
      </c>
      <c r="I44" s="108">
        <v>0</v>
      </c>
      <c r="J44" s="108">
        <v>108</v>
      </c>
      <c r="K44" s="108">
        <v>41</v>
      </c>
      <c r="L44" s="108">
        <v>2</v>
      </c>
      <c r="M44" s="108">
        <v>5</v>
      </c>
      <c r="N44" s="108">
        <v>0</v>
      </c>
      <c r="O44" s="108">
        <v>0</v>
      </c>
      <c r="P44" s="108">
        <v>2</v>
      </c>
      <c r="Q44" s="63">
        <f>B44+C44+J44+K44+N44+O44</f>
        <v>324</v>
      </c>
      <c r="R44" s="45">
        <f>D44+E44+F44+G44+H44+I44+L44+M44+P44</f>
        <v>163</v>
      </c>
      <c r="S44" s="45">
        <f t="shared" ref="S44:S67" si="10">Q44+R44</f>
        <v>487</v>
      </c>
      <c r="T44" s="45">
        <f>N44+O44</f>
        <v>0</v>
      </c>
      <c r="U44" s="45">
        <f>SUM(B44:P44)</f>
        <v>487</v>
      </c>
      <c r="V44" s="46">
        <f>SUMPRODUCT(B44:P44,$B$7:$P$7)</f>
        <v>854</v>
      </c>
    </row>
    <row r="45" spans="1:44" x14ac:dyDescent="0.3">
      <c r="A45" s="62" t="str">
        <f t="shared" si="9"/>
        <v>13:00-14:00</v>
      </c>
      <c r="B45" s="108">
        <v>167</v>
      </c>
      <c r="C45" s="140">
        <v>25</v>
      </c>
      <c r="D45" s="108">
        <v>23</v>
      </c>
      <c r="E45" s="108">
        <v>27</v>
      </c>
      <c r="F45" s="108">
        <v>12</v>
      </c>
      <c r="G45" s="108">
        <v>28</v>
      </c>
      <c r="H45" s="108">
        <v>57</v>
      </c>
      <c r="I45" s="108">
        <v>0</v>
      </c>
      <c r="J45" s="108">
        <v>115</v>
      </c>
      <c r="K45" s="108">
        <v>24</v>
      </c>
      <c r="L45" s="108">
        <v>2</v>
      </c>
      <c r="M45" s="108">
        <v>0</v>
      </c>
      <c r="N45" s="108">
        <v>0</v>
      </c>
      <c r="O45" s="108">
        <v>0</v>
      </c>
      <c r="P45" s="108">
        <v>0</v>
      </c>
      <c r="Q45" s="63">
        <f t="shared" ref="Q45:Q67" si="11">B45+C45+J45+K45+N45+O45</f>
        <v>331</v>
      </c>
      <c r="R45" s="45">
        <f t="shared" ref="R45:R67" si="12">D45+E45+F45+G45+H45+I45+L45+M45+P45</f>
        <v>149</v>
      </c>
      <c r="S45" s="45">
        <f t="shared" si="10"/>
        <v>480</v>
      </c>
      <c r="T45" s="45">
        <f t="shared" ref="T45:T67" si="13">N45+O45</f>
        <v>0</v>
      </c>
      <c r="U45" s="45">
        <f t="shared" ref="U45:U67" si="14">SUM(B45:P45)</f>
        <v>480</v>
      </c>
      <c r="V45" s="46">
        <f t="shared" ref="V45:V67" si="15">SUMPRODUCT(B45:P45,$B$7:$P$7)</f>
        <v>766.5</v>
      </c>
    </row>
    <row r="46" spans="1:44" x14ac:dyDescent="0.3">
      <c r="A46" s="62" t="str">
        <f t="shared" si="9"/>
        <v>14:00-15:00</v>
      </c>
      <c r="B46" s="108">
        <v>206</v>
      </c>
      <c r="C46" s="140">
        <v>23</v>
      </c>
      <c r="D46" s="108">
        <v>16</v>
      </c>
      <c r="E46" s="108">
        <v>23</v>
      </c>
      <c r="F46" s="108">
        <v>16</v>
      </c>
      <c r="G46" s="108">
        <v>29</v>
      </c>
      <c r="H46" s="108">
        <v>62</v>
      </c>
      <c r="I46" s="108">
        <v>0</v>
      </c>
      <c r="J46" s="108">
        <v>195</v>
      </c>
      <c r="K46" s="108">
        <v>41</v>
      </c>
      <c r="L46" s="108">
        <v>2</v>
      </c>
      <c r="M46" s="108">
        <v>8</v>
      </c>
      <c r="N46" s="108">
        <v>2</v>
      </c>
      <c r="O46" s="108">
        <v>0</v>
      </c>
      <c r="P46" s="108">
        <v>0</v>
      </c>
      <c r="Q46" s="63">
        <f t="shared" si="11"/>
        <v>467</v>
      </c>
      <c r="R46" s="45">
        <f t="shared" si="12"/>
        <v>156</v>
      </c>
      <c r="S46" s="45">
        <f t="shared" si="10"/>
        <v>623</v>
      </c>
      <c r="T46" s="45">
        <f t="shared" si="13"/>
        <v>2</v>
      </c>
      <c r="U46" s="45">
        <f t="shared" si="14"/>
        <v>623</v>
      </c>
      <c r="V46" s="46">
        <f t="shared" si="15"/>
        <v>918</v>
      </c>
    </row>
    <row r="47" spans="1:44" x14ac:dyDescent="0.3">
      <c r="A47" s="62" t="str">
        <f t="shared" si="9"/>
        <v>15:00-16:00</v>
      </c>
      <c r="B47" s="108">
        <v>260</v>
      </c>
      <c r="C47" s="141">
        <v>31</v>
      </c>
      <c r="D47" s="108">
        <v>19</v>
      </c>
      <c r="E47" s="108">
        <v>15</v>
      </c>
      <c r="F47" s="108">
        <v>8</v>
      </c>
      <c r="G47" s="108">
        <v>32</v>
      </c>
      <c r="H47" s="108">
        <v>94</v>
      </c>
      <c r="I47" s="108">
        <v>0</v>
      </c>
      <c r="J47" s="108">
        <v>201</v>
      </c>
      <c r="K47" s="108">
        <v>35</v>
      </c>
      <c r="L47" s="108">
        <v>0</v>
      </c>
      <c r="M47" s="108">
        <v>7</v>
      </c>
      <c r="N47" s="108">
        <v>2</v>
      </c>
      <c r="O47" s="108">
        <v>0</v>
      </c>
      <c r="P47" s="108">
        <v>0</v>
      </c>
      <c r="Q47" s="63">
        <f t="shared" si="11"/>
        <v>529</v>
      </c>
      <c r="R47" s="45">
        <f t="shared" si="12"/>
        <v>175</v>
      </c>
      <c r="S47" s="45">
        <f t="shared" si="10"/>
        <v>704</v>
      </c>
      <c r="T47" s="45">
        <f t="shared" si="13"/>
        <v>2</v>
      </c>
      <c r="U47" s="45">
        <f t="shared" si="14"/>
        <v>704</v>
      </c>
      <c r="V47" s="46">
        <f t="shared" si="15"/>
        <v>1105.5</v>
      </c>
    </row>
    <row r="48" spans="1:44" x14ac:dyDescent="0.3">
      <c r="A48" s="62" t="str">
        <f t="shared" si="9"/>
        <v>16:00-17:00</v>
      </c>
      <c r="B48" s="108">
        <v>238</v>
      </c>
      <c r="C48" s="141">
        <v>27</v>
      </c>
      <c r="D48" s="108">
        <v>25</v>
      </c>
      <c r="E48" s="108">
        <v>17</v>
      </c>
      <c r="F48" s="108">
        <v>14</v>
      </c>
      <c r="G48" s="108">
        <v>17</v>
      </c>
      <c r="H48" s="108">
        <v>57</v>
      </c>
      <c r="I48" s="108">
        <v>0</v>
      </c>
      <c r="J48" s="108">
        <v>211</v>
      </c>
      <c r="K48" s="108">
        <v>61</v>
      </c>
      <c r="L48" s="108">
        <v>2</v>
      </c>
      <c r="M48" s="108">
        <v>3</v>
      </c>
      <c r="N48" s="108">
        <v>0</v>
      </c>
      <c r="O48" s="108">
        <v>0</v>
      </c>
      <c r="P48" s="108">
        <v>0</v>
      </c>
      <c r="Q48" s="63">
        <f t="shared" si="11"/>
        <v>537</v>
      </c>
      <c r="R48" s="45">
        <f t="shared" si="12"/>
        <v>135</v>
      </c>
      <c r="S48" s="45">
        <f t="shared" si="10"/>
        <v>672</v>
      </c>
      <c r="T48" s="45">
        <f t="shared" si="13"/>
        <v>0</v>
      </c>
      <c r="U48" s="45">
        <f t="shared" si="14"/>
        <v>672</v>
      </c>
      <c r="V48" s="46">
        <f t="shared" si="15"/>
        <v>902</v>
      </c>
    </row>
    <row r="49" spans="1:22" x14ac:dyDescent="0.3">
      <c r="A49" s="62" t="str">
        <f t="shared" si="9"/>
        <v>17:00-18:00</v>
      </c>
      <c r="B49" s="108">
        <v>202</v>
      </c>
      <c r="C49" s="141">
        <v>17</v>
      </c>
      <c r="D49" s="108">
        <v>17</v>
      </c>
      <c r="E49" s="108">
        <v>17</v>
      </c>
      <c r="F49" s="108">
        <v>26</v>
      </c>
      <c r="G49" s="108">
        <v>12</v>
      </c>
      <c r="H49" s="108">
        <v>81</v>
      </c>
      <c r="I49" s="108">
        <v>0</v>
      </c>
      <c r="J49" s="108">
        <v>287</v>
      </c>
      <c r="K49" s="108">
        <v>55</v>
      </c>
      <c r="L49" s="108">
        <v>0</v>
      </c>
      <c r="M49" s="108">
        <v>6</v>
      </c>
      <c r="N49" s="108">
        <v>0</v>
      </c>
      <c r="O49" s="108">
        <v>0</v>
      </c>
      <c r="P49" s="108">
        <v>0</v>
      </c>
      <c r="Q49" s="63">
        <f t="shared" si="11"/>
        <v>561</v>
      </c>
      <c r="R49" s="45">
        <f t="shared" si="12"/>
        <v>159</v>
      </c>
      <c r="S49" s="45">
        <f t="shared" si="10"/>
        <v>720</v>
      </c>
      <c r="T49" s="45">
        <f t="shared" si="13"/>
        <v>0</v>
      </c>
      <c r="U49" s="45">
        <f t="shared" si="14"/>
        <v>720</v>
      </c>
      <c r="V49" s="46">
        <f t="shared" si="15"/>
        <v>999.5</v>
      </c>
    </row>
    <row r="50" spans="1:22" x14ac:dyDescent="0.3">
      <c r="A50" s="62" t="str">
        <f t="shared" si="9"/>
        <v>18:00-19:00</v>
      </c>
      <c r="B50" s="108">
        <v>191</v>
      </c>
      <c r="C50" s="140">
        <v>15</v>
      </c>
      <c r="D50" s="108">
        <v>11</v>
      </c>
      <c r="E50" s="108">
        <v>25</v>
      </c>
      <c r="F50" s="108">
        <v>12</v>
      </c>
      <c r="G50" s="108">
        <v>15</v>
      </c>
      <c r="H50" s="108">
        <v>71</v>
      </c>
      <c r="I50" s="108">
        <v>0</v>
      </c>
      <c r="J50" s="108">
        <v>249</v>
      </c>
      <c r="K50" s="108">
        <v>18</v>
      </c>
      <c r="L50" s="108">
        <v>0</v>
      </c>
      <c r="M50" s="108">
        <v>2</v>
      </c>
      <c r="N50" s="108">
        <v>0</v>
      </c>
      <c r="O50" s="108">
        <v>0</v>
      </c>
      <c r="P50" s="108">
        <v>0</v>
      </c>
      <c r="Q50" s="63">
        <f t="shared" si="11"/>
        <v>473</v>
      </c>
      <c r="R50" s="45">
        <f t="shared" si="12"/>
        <v>136</v>
      </c>
      <c r="S50" s="45">
        <f t="shared" si="10"/>
        <v>609</v>
      </c>
      <c r="T50" s="45">
        <f t="shared" si="13"/>
        <v>0</v>
      </c>
      <c r="U50" s="45">
        <f t="shared" si="14"/>
        <v>609</v>
      </c>
      <c r="V50" s="46">
        <f t="shared" si="15"/>
        <v>836.5</v>
      </c>
    </row>
    <row r="51" spans="1:22" x14ac:dyDescent="0.3">
      <c r="A51" s="62" t="str">
        <f t="shared" si="9"/>
        <v>19:00-20:00</v>
      </c>
      <c r="B51" s="108">
        <v>196</v>
      </c>
      <c r="C51" s="140">
        <v>24</v>
      </c>
      <c r="D51" s="108">
        <v>13</v>
      </c>
      <c r="E51" s="108">
        <v>29</v>
      </c>
      <c r="F51" s="108">
        <v>27</v>
      </c>
      <c r="G51" s="108">
        <v>15</v>
      </c>
      <c r="H51" s="108">
        <v>75</v>
      </c>
      <c r="I51" s="108">
        <v>0</v>
      </c>
      <c r="J51" s="108">
        <v>189</v>
      </c>
      <c r="K51" s="108">
        <v>10</v>
      </c>
      <c r="L51" s="108">
        <v>0</v>
      </c>
      <c r="M51" s="108">
        <v>0</v>
      </c>
      <c r="N51" s="108">
        <v>0</v>
      </c>
      <c r="O51" s="108">
        <v>0</v>
      </c>
      <c r="P51" s="108">
        <v>0</v>
      </c>
      <c r="Q51" s="63">
        <f t="shared" si="11"/>
        <v>419</v>
      </c>
      <c r="R51" s="45">
        <f t="shared" si="12"/>
        <v>159</v>
      </c>
      <c r="S51" s="45">
        <f t="shared" si="10"/>
        <v>578</v>
      </c>
      <c r="T51" s="45">
        <f t="shared" si="13"/>
        <v>0</v>
      </c>
      <c r="U51" s="45">
        <f t="shared" si="14"/>
        <v>578</v>
      </c>
      <c r="V51" s="46">
        <f t="shared" si="15"/>
        <v>892.5</v>
      </c>
    </row>
    <row r="52" spans="1:22" x14ac:dyDescent="0.3">
      <c r="A52" s="62" t="str">
        <f t="shared" si="9"/>
        <v>20:00-21:00</v>
      </c>
      <c r="B52" s="108">
        <v>125</v>
      </c>
      <c r="C52" s="140">
        <v>17</v>
      </c>
      <c r="D52" s="108">
        <v>16</v>
      </c>
      <c r="E52" s="108">
        <v>29</v>
      </c>
      <c r="F52" s="108">
        <v>25</v>
      </c>
      <c r="G52" s="108">
        <v>13</v>
      </c>
      <c r="H52" s="108">
        <v>75</v>
      </c>
      <c r="I52" s="108">
        <v>0</v>
      </c>
      <c r="J52" s="108">
        <v>142</v>
      </c>
      <c r="K52" s="108">
        <v>12</v>
      </c>
      <c r="L52" s="108">
        <v>0</v>
      </c>
      <c r="M52" s="108">
        <v>0</v>
      </c>
      <c r="N52" s="108">
        <v>0</v>
      </c>
      <c r="O52" s="108">
        <v>0</v>
      </c>
      <c r="P52" s="108">
        <v>0</v>
      </c>
      <c r="Q52" s="63">
        <f t="shared" si="11"/>
        <v>296</v>
      </c>
      <c r="R52" s="45">
        <f t="shared" si="12"/>
        <v>158</v>
      </c>
      <c r="S52" s="45">
        <f t="shared" si="10"/>
        <v>454</v>
      </c>
      <c r="T52" s="45">
        <f t="shared" si="13"/>
        <v>0</v>
      </c>
      <c r="U52" s="45">
        <f t="shared" si="14"/>
        <v>454</v>
      </c>
      <c r="V52" s="46">
        <f t="shared" si="15"/>
        <v>770</v>
      </c>
    </row>
    <row r="53" spans="1:22" x14ac:dyDescent="0.3">
      <c r="A53" s="62" t="str">
        <f t="shared" si="9"/>
        <v>21:00-22:00</v>
      </c>
      <c r="B53" s="108">
        <v>104</v>
      </c>
      <c r="C53" s="142">
        <v>12</v>
      </c>
      <c r="D53" s="108">
        <v>9</v>
      </c>
      <c r="E53" s="108">
        <v>22</v>
      </c>
      <c r="F53" s="108">
        <v>11</v>
      </c>
      <c r="G53" s="108">
        <v>11</v>
      </c>
      <c r="H53" s="108">
        <v>93</v>
      </c>
      <c r="I53" s="108">
        <v>0</v>
      </c>
      <c r="J53" s="108">
        <v>81</v>
      </c>
      <c r="K53" s="108">
        <v>4</v>
      </c>
      <c r="L53" s="108">
        <v>0</v>
      </c>
      <c r="M53" s="108">
        <v>0</v>
      </c>
      <c r="N53" s="108">
        <v>0</v>
      </c>
      <c r="O53" s="108">
        <v>0</v>
      </c>
      <c r="P53" s="108">
        <v>0</v>
      </c>
      <c r="Q53" s="66">
        <f t="shared" si="11"/>
        <v>201</v>
      </c>
      <c r="R53" s="59">
        <f t="shared" si="12"/>
        <v>146</v>
      </c>
      <c r="S53" s="59">
        <f t="shared" si="10"/>
        <v>347</v>
      </c>
      <c r="T53" s="59">
        <f t="shared" si="13"/>
        <v>0</v>
      </c>
      <c r="U53" s="59">
        <f t="shared" si="14"/>
        <v>347</v>
      </c>
      <c r="V53" s="60">
        <f t="shared" si="15"/>
        <v>711</v>
      </c>
    </row>
    <row r="54" spans="1:22" x14ac:dyDescent="0.3">
      <c r="A54" s="62" t="str">
        <f t="shared" si="9"/>
        <v>22:00-23:00</v>
      </c>
      <c r="B54" s="108">
        <v>57</v>
      </c>
      <c r="C54" s="140">
        <v>5</v>
      </c>
      <c r="D54" s="108">
        <v>11</v>
      </c>
      <c r="E54" s="108">
        <v>27</v>
      </c>
      <c r="F54" s="108">
        <v>10</v>
      </c>
      <c r="G54" s="108">
        <v>5</v>
      </c>
      <c r="H54" s="108">
        <v>114</v>
      </c>
      <c r="I54" s="108">
        <v>0</v>
      </c>
      <c r="J54" s="108">
        <v>50</v>
      </c>
      <c r="K54" s="108">
        <v>3</v>
      </c>
      <c r="L54" s="108">
        <v>0</v>
      </c>
      <c r="M54" s="108">
        <v>3</v>
      </c>
      <c r="N54" s="108">
        <v>0</v>
      </c>
      <c r="O54" s="108">
        <v>0</v>
      </c>
      <c r="P54" s="108">
        <v>0</v>
      </c>
      <c r="Q54" s="66">
        <f t="shared" si="11"/>
        <v>115</v>
      </c>
      <c r="R54" s="59">
        <f t="shared" si="12"/>
        <v>170</v>
      </c>
      <c r="S54" s="59">
        <f t="shared" si="10"/>
        <v>285</v>
      </c>
      <c r="T54" s="59">
        <f t="shared" si="13"/>
        <v>0</v>
      </c>
      <c r="U54" s="59">
        <f t="shared" si="14"/>
        <v>285</v>
      </c>
      <c r="V54" s="60">
        <f t="shared" si="15"/>
        <v>723</v>
      </c>
    </row>
    <row r="55" spans="1:22" x14ac:dyDescent="0.3">
      <c r="A55" s="62" t="str">
        <f t="shared" si="9"/>
        <v>23:00-00:00</v>
      </c>
      <c r="B55" s="108">
        <v>45</v>
      </c>
      <c r="C55" s="140">
        <v>3</v>
      </c>
      <c r="D55" s="108">
        <v>27</v>
      </c>
      <c r="E55" s="108">
        <v>19</v>
      </c>
      <c r="F55" s="108">
        <v>17</v>
      </c>
      <c r="G55" s="108">
        <v>7</v>
      </c>
      <c r="H55" s="108">
        <v>163</v>
      </c>
      <c r="I55" s="108">
        <v>0</v>
      </c>
      <c r="J55" s="108">
        <v>21</v>
      </c>
      <c r="K55" s="108">
        <v>2</v>
      </c>
      <c r="L55" s="108">
        <v>0</v>
      </c>
      <c r="M55" s="108">
        <v>0</v>
      </c>
      <c r="N55" s="108">
        <v>0</v>
      </c>
      <c r="O55" s="108">
        <v>0</v>
      </c>
      <c r="P55" s="108">
        <v>0</v>
      </c>
      <c r="Q55" s="66">
        <f t="shared" si="11"/>
        <v>71</v>
      </c>
      <c r="R55" s="59">
        <f t="shared" si="12"/>
        <v>233</v>
      </c>
      <c r="S55" s="59">
        <f t="shared" si="10"/>
        <v>304</v>
      </c>
      <c r="T55" s="59">
        <f t="shared" si="13"/>
        <v>0</v>
      </c>
      <c r="U55" s="59">
        <f t="shared" si="14"/>
        <v>304</v>
      </c>
      <c r="V55" s="60">
        <f t="shared" si="15"/>
        <v>927.5</v>
      </c>
    </row>
    <row r="56" spans="1:22" x14ac:dyDescent="0.3">
      <c r="A56" s="62" t="str">
        <f t="shared" si="9"/>
        <v>00:00-01:00</v>
      </c>
      <c r="B56" s="108">
        <v>12</v>
      </c>
      <c r="C56" s="140">
        <v>6</v>
      </c>
      <c r="D56" s="108">
        <v>11</v>
      </c>
      <c r="E56" s="108">
        <v>12</v>
      </c>
      <c r="F56" s="108">
        <v>13</v>
      </c>
      <c r="G56" s="108">
        <v>6</v>
      </c>
      <c r="H56" s="108">
        <v>72</v>
      </c>
      <c r="I56" s="108">
        <v>0</v>
      </c>
      <c r="J56" s="108">
        <v>14</v>
      </c>
      <c r="K56" s="108">
        <v>0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6">
        <f t="shared" si="11"/>
        <v>32</v>
      </c>
      <c r="R56" s="59">
        <f t="shared" si="12"/>
        <v>114</v>
      </c>
      <c r="S56" s="59">
        <f t="shared" si="10"/>
        <v>146</v>
      </c>
      <c r="T56" s="59">
        <f t="shared" si="13"/>
        <v>0</v>
      </c>
      <c r="U56" s="59">
        <f t="shared" si="14"/>
        <v>146</v>
      </c>
      <c r="V56" s="60">
        <f t="shared" si="15"/>
        <v>447</v>
      </c>
    </row>
    <row r="57" spans="1:22" x14ac:dyDescent="0.3">
      <c r="A57" s="62" t="str">
        <f t="shared" si="9"/>
        <v>01:00-02:00</v>
      </c>
      <c r="B57" s="108">
        <v>16</v>
      </c>
      <c r="C57" s="140">
        <v>5</v>
      </c>
      <c r="D57" s="108">
        <v>9</v>
      </c>
      <c r="E57" s="108">
        <v>11</v>
      </c>
      <c r="F57" s="108">
        <v>13</v>
      </c>
      <c r="G57" s="108">
        <v>21</v>
      </c>
      <c r="H57" s="108">
        <v>87</v>
      </c>
      <c r="I57" s="108">
        <v>0</v>
      </c>
      <c r="J57" s="108">
        <v>7</v>
      </c>
      <c r="K57" s="108">
        <v>0</v>
      </c>
      <c r="L57" s="108">
        <v>0</v>
      </c>
      <c r="M57" s="108">
        <v>3</v>
      </c>
      <c r="N57" s="108">
        <v>0</v>
      </c>
      <c r="O57" s="108">
        <v>0</v>
      </c>
      <c r="P57" s="108">
        <v>0</v>
      </c>
      <c r="Q57" s="66">
        <f t="shared" si="11"/>
        <v>28</v>
      </c>
      <c r="R57" s="59">
        <f t="shared" si="12"/>
        <v>144</v>
      </c>
      <c r="S57" s="59">
        <f t="shared" si="10"/>
        <v>172</v>
      </c>
      <c r="T57" s="59">
        <f t="shared" si="13"/>
        <v>0</v>
      </c>
      <c r="U57" s="59">
        <f t="shared" si="14"/>
        <v>172</v>
      </c>
      <c r="V57" s="60">
        <f t="shared" si="15"/>
        <v>567</v>
      </c>
    </row>
    <row r="58" spans="1:22" x14ac:dyDescent="0.3">
      <c r="A58" s="62" t="str">
        <f t="shared" si="9"/>
        <v>02:00-03:00</v>
      </c>
      <c r="B58" s="108">
        <v>10</v>
      </c>
      <c r="C58" s="140">
        <v>8</v>
      </c>
      <c r="D58" s="108">
        <v>3</v>
      </c>
      <c r="E58" s="108">
        <v>10</v>
      </c>
      <c r="F58" s="108">
        <v>10</v>
      </c>
      <c r="G58" s="108">
        <v>30</v>
      </c>
      <c r="H58" s="108">
        <v>76</v>
      </c>
      <c r="I58" s="108">
        <v>0</v>
      </c>
      <c r="J58" s="108">
        <v>16</v>
      </c>
      <c r="K58" s="108">
        <v>2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6">
        <f t="shared" si="11"/>
        <v>36</v>
      </c>
      <c r="R58" s="59">
        <f t="shared" si="12"/>
        <v>129</v>
      </c>
      <c r="S58" s="59">
        <f t="shared" si="10"/>
        <v>165</v>
      </c>
      <c r="T58" s="59">
        <f t="shared" si="13"/>
        <v>0</v>
      </c>
      <c r="U58" s="59">
        <f t="shared" si="14"/>
        <v>165</v>
      </c>
      <c r="V58" s="60">
        <f t="shared" si="15"/>
        <v>524</v>
      </c>
    </row>
    <row r="59" spans="1:22" x14ac:dyDescent="0.3">
      <c r="A59" s="62" t="str">
        <f t="shared" si="9"/>
        <v>03:00-04:00</v>
      </c>
      <c r="B59" s="108">
        <v>34</v>
      </c>
      <c r="C59" s="140">
        <v>9</v>
      </c>
      <c r="D59" s="108">
        <v>8</v>
      </c>
      <c r="E59" s="108">
        <v>13</v>
      </c>
      <c r="F59" s="108">
        <v>10</v>
      </c>
      <c r="G59" s="108">
        <v>23</v>
      </c>
      <c r="H59" s="108">
        <v>81</v>
      </c>
      <c r="I59" s="108">
        <v>0</v>
      </c>
      <c r="J59" s="108">
        <v>92</v>
      </c>
      <c r="K59" s="108">
        <v>10</v>
      </c>
      <c r="L59" s="108">
        <v>0</v>
      </c>
      <c r="M59" s="108">
        <v>3</v>
      </c>
      <c r="N59" s="108">
        <v>0</v>
      </c>
      <c r="O59" s="108">
        <v>0</v>
      </c>
      <c r="P59" s="108">
        <v>0</v>
      </c>
      <c r="Q59" s="66">
        <f t="shared" si="11"/>
        <v>145</v>
      </c>
      <c r="R59" s="59">
        <f t="shared" si="12"/>
        <v>138</v>
      </c>
      <c r="S59" s="59">
        <f t="shared" si="10"/>
        <v>283</v>
      </c>
      <c r="T59" s="59">
        <f t="shared" si="13"/>
        <v>0</v>
      </c>
      <c r="U59" s="59">
        <f t="shared" si="14"/>
        <v>283</v>
      </c>
      <c r="V59" s="60">
        <f t="shared" si="15"/>
        <v>621.5</v>
      </c>
    </row>
    <row r="60" spans="1:22" x14ac:dyDescent="0.3">
      <c r="A60" s="62" t="str">
        <f t="shared" si="9"/>
        <v>04:00-05:00</v>
      </c>
      <c r="B60" s="108">
        <v>67</v>
      </c>
      <c r="C60" s="140">
        <v>28</v>
      </c>
      <c r="D60" s="108">
        <v>4</v>
      </c>
      <c r="E60" s="108">
        <v>18</v>
      </c>
      <c r="F60" s="108">
        <v>24</v>
      </c>
      <c r="G60" s="108">
        <v>12</v>
      </c>
      <c r="H60" s="108">
        <v>130</v>
      </c>
      <c r="I60" s="108">
        <v>0</v>
      </c>
      <c r="J60" s="108">
        <v>138</v>
      </c>
      <c r="K60" s="108">
        <v>18</v>
      </c>
      <c r="L60" s="108">
        <v>0</v>
      </c>
      <c r="M60" s="108">
        <v>5</v>
      </c>
      <c r="N60" s="108">
        <v>0</v>
      </c>
      <c r="O60" s="108">
        <v>0</v>
      </c>
      <c r="P60" s="108">
        <v>0</v>
      </c>
      <c r="Q60" s="66">
        <f t="shared" si="11"/>
        <v>251</v>
      </c>
      <c r="R60" s="59">
        <f t="shared" si="12"/>
        <v>193</v>
      </c>
      <c r="S60" s="59">
        <f t="shared" si="10"/>
        <v>444</v>
      </c>
      <c r="T60" s="59">
        <f t="shared" si="13"/>
        <v>0</v>
      </c>
      <c r="U60" s="59">
        <f t="shared" si="14"/>
        <v>444</v>
      </c>
      <c r="V60" s="60">
        <f t="shared" si="15"/>
        <v>984.5</v>
      </c>
    </row>
    <row r="61" spans="1:22" x14ac:dyDescent="0.3">
      <c r="A61" s="62" t="str">
        <f t="shared" si="9"/>
        <v>05:00-06:00</v>
      </c>
      <c r="B61" s="108">
        <v>153</v>
      </c>
      <c r="C61" s="140">
        <v>29</v>
      </c>
      <c r="D61" s="108">
        <v>9</v>
      </c>
      <c r="E61" s="108">
        <v>23</v>
      </c>
      <c r="F61" s="108">
        <v>28</v>
      </c>
      <c r="G61" s="108">
        <v>9</v>
      </c>
      <c r="H61" s="108">
        <v>147</v>
      </c>
      <c r="I61" s="108">
        <v>0</v>
      </c>
      <c r="J61" s="108">
        <v>169</v>
      </c>
      <c r="K61" s="108">
        <v>13</v>
      </c>
      <c r="L61" s="108">
        <v>0</v>
      </c>
      <c r="M61" s="108">
        <v>3</v>
      </c>
      <c r="N61" s="108">
        <v>0</v>
      </c>
      <c r="O61" s="108">
        <v>0</v>
      </c>
      <c r="P61" s="108">
        <v>0</v>
      </c>
      <c r="Q61" s="66">
        <f t="shared" si="11"/>
        <v>364</v>
      </c>
      <c r="R61" s="59">
        <f t="shared" si="12"/>
        <v>219</v>
      </c>
      <c r="S61" s="59">
        <f t="shared" si="10"/>
        <v>583</v>
      </c>
      <c r="T61" s="59">
        <f t="shared" si="13"/>
        <v>0</v>
      </c>
      <c r="U61" s="59">
        <f t="shared" si="14"/>
        <v>583</v>
      </c>
      <c r="V61" s="60">
        <f t="shared" si="15"/>
        <v>1167</v>
      </c>
    </row>
    <row r="62" spans="1:22" x14ac:dyDescent="0.3">
      <c r="A62" s="62" t="str">
        <f t="shared" si="9"/>
        <v>06:00-07:00</v>
      </c>
      <c r="B62" s="108">
        <v>172</v>
      </c>
      <c r="C62" s="140">
        <v>37</v>
      </c>
      <c r="D62" s="108">
        <v>17</v>
      </c>
      <c r="E62" s="108">
        <v>12</v>
      </c>
      <c r="F62" s="108">
        <v>19</v>
      </c>
      <c r="G62" s="108">
        <v>15</v>
      </c>
      <c r="H62" s="108">
        <v>138</v>
      </c>
      <c r="I62" s="108">
        <v>0</v>
      </c>
      <c r="J62" s="108">
        <v>217</v>
      </c>
      <c r="K62" s="108">
        <v>28</v>
      </c>
      <c r="L62" s="108">
        <v>0</v>
      </c>
      <c r="M62" s="108">
        <v>4</v>
      </c>
      <c r="N62" s="108">
        <v>0</v>
      </c>
      <c r="O62" s="108">
        <v>0</v>
      </c>
      <c r="P62" s="108">
        <v>0</v>
      </c>
      <c r="Q62" s="66">
        <f t="shared" si="11"/>
        <v>454</v>
      </c>
      <c r="R62" s="59">
        <f t="shared" si="12"/>
        <v>205</v>
      </c>
      <c r="S62" s="59">
        <f t="shared" si="10"/>
        <v>659</v>
      </c>
      <c r="T62" s="59">
        <f t="shared" si="13"/>
        <v>0</v>
      </c>
      <c r="U62" s="59">
        <f t="shared" si="14"/>
        <v>659</v>
      </c>
      <c r="V62" s="60">
        <f t="shared" si="15"/>
        <v>1195.5</v>
      </c>
    </row>
    <row r="63" spans="1:22" x14ac:dyDescent="0.3">
      <c r="A63" s="62" t="str">
        <f t="shared" si="9"/>
        <v>07:00-08:00</v>
      </c>
      <c r="B63" s="108">
        <v>262</v>
      </c>
      <c r="C63" s="140">
        <v>37</v>
      </c>
      <c r="D63" s="108">
        <v>17</v>
      </c>
      <c r="E63" s="108">
        <v>14</v>
      </c>
      <c r="F63" s="108">
        <v>17</v>
      </c>
      <c r="G63" s="108">
        <v>13</v>
      </c>
      <c r="H63" s="108">
        <v>114</v>
      </c>
      <c r="I63" s="108">
        <v>0</v>
      </c>
      <c r="J63" s="108">
        <v>311</v>
      </c>
      <c r="K63" s="108">
        <v>61</v>
      </c>
      <c r="L63" s="108">
        <v>2</v>
      </c>
      <c r="M63" s="108">
        <v>0</v>
      </c>
      <c r="N63" s="108">
        <v>0</v>
      </c>
      <c r="O63" s="108">
        <v>0</v>
      </c>
      <c r="P63" s="108">
        <v>0</v>
      </c>
      <c r="Q63" s="66">
        <f t="shared" si="11"/>
        <v>671</v>
      </c>
      <c r="R63" s="59">
        <f t="shared" si="12"/>
        <v>177</v>
      </c>
      <c r="S63" s="59">
        <f t="shared" si="10"/>
        <v>848</v>
      </c>
      <c r="T63" s="59">
        <f t="shared" si="13"/>
        <v>0</v>
      </c>
      <c r="U63" s="59">
        <f t="shared" si="14"/>
        <v>848</v>
      </c>
      <c r="V63" s="60">
        <f t="shared" si="15"/>
        <v>1233.5</v>
      </c>
    </row>
    <row r="64" spans="1:22" x14ac:dyDescent="0.3">
      <c r="A64" s="62" t="str">
        <f t="shared" si="9"/>
        <v>08:00-09:00</v>
      </c>
      <c r="B64" s="108">
        <v>258</v>
      </c>
      <c r="C64" s="140">
        <v>24</v>
      </c>
      <c r="D64" s="108">
        <v>11</v>
      </c>
      <c r="E64" s="108">
        <v>11</v>
      </c>
      <c r="F64" s="108">
        <v>26</v>
      </c>
      <c r="G64" s="108">
        <v>18</v>
      </c>
      <c r="H64" s="108">
        <v>108</v>
      </c>
      <c r="I64" s="108">
        <v>0</v>
      </c>
      <c r="J64" s="108">
        <v>299</v>
      </c>
      <c r="K64" s="108">
        <v>34</v>
      </c>
      <c r="L64" s="108">
        <v>0</v>
      </c>
      <c r="M64" s="108">
        <v>2</v>
      </c>
      <c r="N64" s="108">
        <v>0</v>
      </c>
      <c r="O64" s="108">
        <v>0</v>
      </c>
      <c r="P64" s="108">
        <v>0</v>
      </c>
      <c r="Q64" s="66">
        <f t="shared" si="11"/>
        <v>615</v>
      </c>
      <c r="R64" s="59">
        <f t="shared" si="12"/>
        <v>176</v>
      </c>
      <c r="S64" s="59">
        <f t="shared" si="10"/>
        <v>791</v>
      </c>
      <c r="T64" s="59">
        <f t="shared" si="13"/>
        <v>0</v>
      </c>
      <c r="U64" s="59">
        <f t="shared" si="14"/>
        <v>791</v>
      </c>
      <c r="V64" s="60">
        <f t="shared" si="15"/>
        <v>1168</v>
      </c>
    </row>
    <row r="65" spans="1:22" x14ac:dyDescent="0.3">
      <c r="A65" s="62" t="str">
        <f t="shared" si="9"/>
        <v>09:00-10:00</v>
      </c>
      <c r="B65" s="108">
        <v>397</v>
      </c>
      <c r="C65" s="140">
        <v>23</v>
      </c>
      <c r="D65" s="108">
        <v>21</v>
      </c>
      <c r="E65" s="108">
        <v>13</v>
      </c>
      <c r="F65" s="108">
        <v>43</v>
      </c>
      <c r="G65" s="108">
        <v>38</v>
      </c>
      <c r="H65" s="108">
        <v>127</v>
      </c>
      <c r="I65" s="108">
        <v>0</v>
      </c>
      <c r="J65" s="108">
        <v>401</v>
      </c>
      <c r="K65" s="108">
        <v>50</v>
      </c>
      <c r="L65" s="108">
        <v>4</v>
      </c>
      <c r="M65" s="108">
        <v>13</v>
      </c>
      <c r="N65" s="108">
        <v>0</v>
      </c>
      <c r="O65" s="108">
        <v>0</v>
      </c>
      <c r="P65" s="108">
        <v>0</v>
      </c>
      <c r="Q65" s="66">
        <f t="shared" si="11"/>
        <v>871</v>
      </c>
      <c r="R65" s="59">
        <f t="shared" si="12"/>
        <v>259</v>
      </c>
      <c r="S65" s="59">
        <f t="shared" si="10"/>
        <v>1130</v>
      </c>
      <c r="T65" s="59">
        <f t="shared" si="13"/>
        <v>0</v>
      </c>
      <c r="U65" s="59">
        <f t="shared" si="14"/>
        <v>1130</v>
      </c>
      <c r="V65" s="60">
        <f t="shared" si="15"/>
        <v>1636</v>
      </c>
    </row>
    <row r="66" spans="1:22" x14ac:dyDescent="0.3">
      <c r="A66" s="62" t="str">
        <f t="shared" si="9"/>
        <v>10:00-11:00</v>
      </c>
      <c r="B66" s="108">
        <v>372</v>
      </c>
      <c r="C66" s="140">
        <v>17</v>
      </c>
      <c r="D66" s="108">
        <v>41</v>
      </c>
      <c r="E66" s="108">
        <v>22</v>
      </c>
      <c r="F66" s="108">
        <v>69</v>
      </c>
      <c r="G66" s="108">
        <v>69</v>
      </c>
      <c r="H66" s="108">
        <v>129</v>
      </c>
      <c r="I66" s="108">
        <v>0</v>
      </c>
      <c r="J66" s="108">
        <v>267</v>
      </c>
      <c r="K66" s="108">
        <v>65</v>
      </c>
      <c r="L66" s="108">
        <v>3</v>
      </c>
      <c r="M66" s="108">
        <v>6</v>
      </c>
      <c r="N66" s="108">
        <v>0</v>
      </c>
      <c r="O66" s="108">
        <v>0</v>
      </c>
      <c r="P66" s="108">
        <v>2</v>
      </c>
      <c r="Q66" s="66">
        <f t="shared" si="11"/>
        <v>721</v>
      </c>
      <c r="R66" s="59">
        <f t="shared" si="12"/>
        <v>341</v>
      </c>
      <c r="S66" s="59">
        <f t="shared" si="10"/>
        <v>1062</v>
      </c>
      <c r="T66" s="59">
        <f t="shared" si="13"/>
        <v>0</v>
      </c>
      <c r="U66" s="59">
        <f t="shared" si="14"/>
        <v>1062</v>
      </c>
      <c r="V66" s="60">
        <f t="shared" si="15"/>
        <v>1730.5</v>
      </c>
    </row>
    <row r="67" spans="1:22" x14ac:dyDescent="0.3">
      <c r="A67" s="62" t="str">
        <f t="shared" si="9"/>
        <v>11:00-12:00</v>
      </c>
      <c r="B67" s="108">
        <v>401</v>
      </c>
      <c r="C67" s="140">
        <v>21</v>
      </c>
      <c r="D67" s="108">
        <v>48</v>
      </c>
      <c r="E67" s="108">
        <v>24</v>
      </c>
      <c r="F67" s="108">
        <v>45</v>
      </c>
      <c r="G67" s="108">
        <v>42</v>
      </c>
      <c r="H67" s="108">
        <v>124</v>
      </c>
      <c r="I67" s="108">
        <v>0</v>
      </c>
      <c r="J67" s="108">
        <v>246</v>
      </c>
      <c r="K67" s="108">
        <v>30</v>
      </c>
      <c r="L67" s="108">
        <v>2</v>
      </c>
      <c r="M67" s="108">
        <v>4</v>
      </c>
      <c r="N67" s="108">
        <v>0</v>
      </c>
      <c r="O67" s="108">
        <v>0</v>
      </c>
      <c r="P67" s="108">
        <v>0</v>
      </c>
      <c r="Q67" s="66">
        <f t="shared" si="11"/>
        <v>698</v>
      </c>
      <c r="R67" s="59">
        <f t="shared" si="12"/>
        <v>289</v>
      </c>
      <c r="S67" s="59">
        <f t="shared" si="10"/>
        <v>987</v>
      </c>
      <c r="T67" s="59">
        <f t="shared" si="13"/>
        <v>0</v>
      </c>
      <c r="U67" s="59">
        <f t="shared" si="14"/>
        <v>987</v>
      </c>
      <c r="V67" s="60">
        <f t="shared" si="15"/>
        <v>1541</v>
      </c>
    </row>
    <row r="68" spans="1:22" x14ac:dyDescent="0.3">
      <c r="A68" s="48" t="s">
        <v>23</v>
      </c>
      <c r="B68" s="146">
        <f>SUM(B44:B67)</f>
        <v>4089</v>
      </c>
      <c r="C68" s="94">
        <f t="shared" ref="C68" si="16">SUM(C44:C67)</f>
        <v>474</v>
      </c>
      <c r="D68" s="146">
        <f t="shared" ref="D68:V68" si="17">SUM(D44:D67)</f>
        <v>404</v>
      </c>
      <c r="E68" s="110">
        <f t="shared" si="17"/>
        <v>463</v>
      </c>
      <c r="F68" s="146">
        <f t="shared" si="17"/>
        <v>507</v>
      </c>
      <c r="G68" s="146">
        <f t="shared" si="17"/>
        <v>503</v>
      </c>
      <c r="H68" s="146">
        <f t="shared" si="17"/>
        <v>2346</v>
      </c>
      <c r="I68" s="146">
        <f t="shared" si="17"/>
        <v>0</v>
      </c>
      <c r="J68" s="146">
        <f t="shared" ref="J68" si="18">SUM(J44:J67)</f>
        <v>4026</v>
      </c>
      <c r="K68" s="146">
        <f t="shared" si="17"/>
        <v>617</v>
      </c>
      <c r="L68" s="146">
        <f t="shared" si="17"/>
        <v>19</v>
      </c>
      <c r="M68" s="146">
        <f t="shared" si="17"/>
        <v>77</v>
      </c>
      <c r="N68" s="146">
        <f t="shared" si="17"/>
        <v>4</v>
      </c>
      <c r="O68" s="146">
        <f t="shared" si="17"/>
        <v>0</v>
      </c>
      <c r="P68" s="146">
        <f t="shared" si="17"/>
        <v>4</v>
      </c>
      <c r="Q68" s="107">
        <f t="shared" si="17"/>
        <v>9210</v>
      </c>
      <c r="R68" s="30">
        <f t="shared" si="17"/>
        <v>4323</v>
      </c>
      <c r="S68" s="31">
        <f t="shared" si="17"/>
        <v>13533</v>
      </c>
      <c r="T68" s="30">
        <f t="shared" si="17"/>
        <v>4</v>
      </c>
      <c r="U68" s="31">
        <f t="shared" si="17"/>
        <v>13533</v>
      </c>
      <c r="V68" s="31">
        <f t="shared" si="17"/>
        <v>23221.5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  <mergeCell ref="A38:V38"/>
    <mergeCell ref="A42:A43"/>
    <mergeCell ref="N42:O42"/>
    <mergeCell ref="B42:M42"/>
    <mergeCell ref="B39:P39"/>
    <mergeCell ref="R39:V39"/>
    <mergeCell ref="B40:V40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A60"/>
  <sheetViews>
    <sheetView zoomScale="98" zoomScaleNormal="98" workbookViewId="0">
      <selection activeCell="A34" sqref="A34:M36"/>
    </sheetView>
  </sheetViews>
  <sheetFormatPr defaultColWidth="9.109375" defaultRowHeight="13.8" x14ac:dyDescent="0.3"/>
  <cols>
    <col min="1" max="1" width="10.5546875" style="1" bestFit="1" customWidth="1"/>
    <col min="2" max="2" width="6.5546875" style="1" bestFit="1" customWidth="1"/>
    <col min="3" max="3" width="4.109375" style="1" bestFit="1" customWidth="1"/>
    <col min="4" max="4" width="5.109375" style="1" bestFit="1" customWidth="1"/>
    <col min="5" max="5" width="5.5546875" style="1" customWidth="1"/>
    <col min="6" max="6" width="5.109375" style="1" customWidth="1"/>
    <col min="7" max="7" width="5.5546875" style="1" bestFit="1" customWidth="1"/>
    <col min="8" max="8" width="5.6640625" style="1" customWidth="1"/>
    <col min="9" max="9" width="4.6640625" style="1" customWidth="1"/>
    <col min="10" max="10" width="6.33203125" style="1" customWidth="1"/>
    <col min="11" max="11" width="6.44140625" style="1" customWidth="1"/>
    <col min="12" max="12" width="4.6640625" style="1" customWidth="1"/>
    <col min="13" max="13" width="5" style="1" customWidth="1"/>
    <col min="14" max="14" width="4.6640625" style="1" customWidth="1"/>
    <col min="15" max="15" width="5.6640625" style="1" customWidth="1"/>
    <col min="16" max="16" width="6.109375" style="1" bestFit="1" customWidth="1"/>
    <col min="17" max="17" width="6.88671875" style="1" customWidth="1"/>
    <col min="18" max="18" width="6.6640625" style="1" customWidth="1"/>
    <col min="19" max="19" width="8.33203125" style="1" bestFit="1" customWidth="1"/>
    <col min="20" max="20" width="5.109375" style="1" customWidth="1"/>
    <col min="21" max="21" width="7.33203125" style="1" customWidth="1"/>
    <col min="22" max="22" width="7" style="1" customWidth="1"/>
    <col min="23" max="23" width="10.33203125" style="1" customWidth="1"/>
    <col min="24" max="24" width="9.6640625" style="1" bestFit="1" customWidth="1"/>
    <col min="25" max="25" width="9.109375" style="1"/>
    <col min="26" max="26" width="10.6640625" style="1" bestFit="1" customWidth="1"/>
    <col min="27" max="16384" width="9.109375" style="1"/>
  </cols>
  <sheetData>
    <row r="1" spans="1:27" x14ac:dyDescent="0.3">
      <c r="A1" s="150" t="s">
        <v>30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</row>
    <row r="2" spans="1:27" x14ac:dyDescent="0.3">
      <c r="A2" s="172" t="s">
        <v>208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</row>
    <row r="3" spans="1:27" x14ac:dyDescent="0.3">
      <c r="A3" s="172" t="s">
        <v>1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</row>
    <row r="4" spans="1:27" x14ac:dyDescent="0.3">
      <c r="A4" s="51" t="s">
        <v>63</v>
      </c>
      <c r="B4" s="37">
        <v>1</v>
      </c>
      <c r="C4" s="37">
        <v>3</v>
      </c>
      <c r="D4" s="37">
        <v>1</v>
      </c>
      <c r="E4" s="37">
        <v>1.5</v>
      </c>
      <c r="F4" s="37">
        <v>3</v>
      </c>
      <c r="G4" s="37">
        <v>3</v>
      </c>
      <c r="H4" s="37">
        <v>4.5</v>
      </c>
      <c r="I4" s="37">
        <v>4.5</v>
      </c>
      <c r="J4" s="37">
        <v>0.5</v>
      </c>
      <c r="K4" s="37">
        <v>1</v>
      </c>
      <c r="L4" s="37">
        <v>1.5</v>
      </c>
      <c r="M4" s="37">
        <v>4.5</v>
      </c>
      <c r="N4" s="52">
        <v>0.5</v>
      </c>
      <c r="O4" s="38">
        <v>2</v>
      </c>
      <c r="P4" s="39">
        <v>4.5</v>
      </c>
      <c r="Q4" s="40"/>
      <c r="R4" s="40"/>
      <c r="S4" s="40"/>
      <c r="T4" s="40"/>
      <c r="U4" s="40"/>
      <c r="V4" s="41"/>
    </row>
    <row r="5" spans="1:27" ht="15" customHeight="1" x14ac:dyDescent="0.3">
      <c r="A5" s="152" t="s">
        <v>2</v>
      </c>
      <c r="B5" s="173" t="s">
        <v>80</v>
      </c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4" t="s">
        <v>81</v>
      </c>
      <c r="O5" s="174"/>
      <c r="P5" s="26"/>
      <c r="Q5" s="27"/>
      <c r="R5" s="27"/>
      <c r="S5" s="27"/>
      <c r="T5" s="27"/>
      <c r="U5" s="27"/>
      <c r="V5" s="28"/>
    </row>
    <row r="6" spans="1:27" ht="56.25" customHeight="1" x14ac:dyDescent="0.3">
      <c r="A6" s="152"/>
      <c r="B6" s="44" t="s">
        <v>71</v>
      </c>
      <c r="C6" s="44" t="s">
        <v>79</v>
      </c>
      <c r="D6" s="44" t="s">
        <v>65</v>
      </c>
      <c r="E6" s="44" t="s">
        <v>66</v>
      </c>
      <c r="F6" s="44" t="s">
        <v>72</v>
      </c>
      <c r="G6" s="44" t="s">
        <v>73</v>
      </c>
      <c r="H6" s="44" t="s">
        <v>74</v>
      </c>
      <c r="I6" s="44" t="s">
        <v>82</v>
      </c>
      <c r="J6" s="44" t="s">
        <v>67</v>
      </c>
      <c r="K6" s="44" t="s">
        <v>68</v>
      </c>
      <c r="L6" s="44" t="s">
        <v>69</v>
      </c>
      <c r="M6" s="44" t="s">
        <v>70</v>
      </c>
      <c r="N6" s="44" t="s">
        <v>64</v>
      </c>
      <c r="O6" s="44" t="s">
        <v>75</v>
      </c>
      <c r="P6" s="44" t="s">
        <v>76</v>
      </c>
      <c r="Q6" s="44" t="s">
        <v>17</v>
      </c>
      <c r="R6" s="44" t="s">
        <v>18</v>
      </c>
      <c r="S6" s="44" t="s">
        <v>19</v>
      </c>
      <c r="T6" s="44" t="s">
        <v>20</v>
      </c>
      <c r="U6" s="44" t="s">
        <v>21</v>
      </c>
      <c r="V6" s="44" t="s">
        <v>22</v>
      </c>
    </row>
    <row r="7" spans="1:27" x14ac:dyDescent="0.3">
      <c r="A7" s="62" t="str">
        <f>'Day-7'!A10</f>
        <v>12:00-13:00</v>
      </c>
      <c r="B7" s="16">
        <f>AVERAGE('Day-1'!X10,'Day-2'!X10,'Day-3'!X10,'Day-4'!X10,'Day-5'!X10,'Day-6'!X10,'Day-7'!X10)</f>
        <v>311.14285714285717</v>
      </c>
      <c r="C7" s="16">
        <f>AVERAGE('Day-1'!Y10,'Day-2'!Y10,'Day-3'!Y10,'Day-4'!Y10,'Day-5'!Y10,'Day-6'!Y10,'Day-7'!Y10)</f>
        <v>47.571428571428569</v>
      </c>
      <c r="D7" s="16">
        <f>AVERAGE('Day-1'!Z10,'Day-2'!Z10,'Day-3'!Z10,'Day-4'!Z10,'Day-5'!Z10,'Day-6'!Z10,'Day-7'!Z10)</f>
        <v>42</v>
      </c>
      <c r="E7" s="16">
        <f>AVERAGE('Day-1'!AA10,'Day-2'!AA10,'Day-3'!AA10,'Day-4'!AA10,'Day-5'!AA10,'Day-6'!AA10,'Day-7'!AA10)</f>
        <v>46.714285714285715</v>
      </c>
      <c r="F7" s="16">
        <f>AVERAGE('Day-1'!AB10,'Day-2'!AB10,'Day-3'!AB10,'Day-4'!AB10,'Day-5'!AB10,'Day-6'!AB10,'Day-7'!AB10)</f>
        <v>33.857142857142854</v>
      </c>
      <c r="G7" s="16">
        <f>AVERAGE('Day-1'!AC10,'Day-2'!AC10,'Day-3'!AC10,'Day-4'!AC10,'Day-5'!AC10,'Day-6'!AC10,'Day-7'!AC10)</f>
        <v>40.285714285714285</v>
      </c>
      <c r="H7" s="16">
        <f>AVERAGE('Day-1'!AD10,'Day-2'!AD10,'Day-3'!AD10,'Day-4'!AD10,'Day-5'!AD10,'Day-6'!AD10,'Day-7'!AD10)</f>
        <v>121.57142857142857</v>
      </c>
      <c r="I7" s="16">
        <f>AVERAGE('Day-1'!AE10,'Day-2'!AE10,'Day-3'!AE10,'Day-4'!AE10,'Day-5'!AE10,'Day-6'!AE10,'Day-7'!AE10)</f>
        <v>0</v>
      </c>
      <c r="J7" s="16">
        <f>AVERAGE('Day-1'!AF10,'Day-2'!AF10,'Day-3'!AF10,'Day-4'!AF10,'Day-5'!AF10,'Day-6'!AF10,'Day-7'!AF10)</f>
        <v>337.85714285714283</v>
      </c>
      <c r="K7" s="16">
        <f>AVERAGE('Day-1'!AG10,'Day-2'!AG10,'Day-3'!AG10,'Day-4'!AG10,'Day-5'!AG10,'Day-6'!AG10,'Day-7'!AG10)</f>
        <v>85.142857142857139</v>
      </c>
      <c r="L7" s="16">
        <f>AVERAGE('Day-1'!AH10,'Day-2'!AH10,'Day-3'!AH10,'Day-4'!AH10,'Day-5'!AH10,'Day-6'!AH10,'Day-7'!AH10)</f>
        <v>1.1428571428571428</v>
      </c>
      <c r="M7" s="16">
        <f>AVERAGE('Day-1'!AI10,'Day-2'!AI10,'Day-3'!AI10,'Day-4'!AI10,'Day-5'!AI10,'Day-6'!AI10,'Day-7'!AI10)</f>
        <v>6.5714285714285712</v>
      </c>
      <c r="N7" s="16">
        <f>AVERAGE('Day-1'!AJ10,'Day-2'!AJ10,'Day-3'!AJ10,'Day-4'!AJ10,'Day-5'!AJ10,'Day-6'!AJ10,'Day-7'!AJ10)</f>
        <v>0.7142857142857143</v>
      </c>
      <c r="O7" s="16">
        <f>AVERAGE('Day-1'!AK10,'Day-2'!AK10,'Day-3'!AK10,'Day-4'!AK10,'Day-5'!AK10,'Day-6'!AK10,'Day-7'!AK10)</f>
        <v>0</v>
      </c>
      <c r="P7" s="16">
        <f>AVERAGE('Day-1'!AL10,'Day-2'!AL10,'Day-3'!AL10,'Day-4'!AL10,'Day-5'!AL10,'Day-6'!AL10,'Day-7'!AL10)</f>
        <v>0.5714285714285714</v>
      </c>
      <c r="Q7" s="53">
        <f>B7+C7+J7+K7+N7+O7</f>
        <v>782.42857142857133</v>
      </c>
      <c r="R7" s="53">
        <f>D7+E7+F7+G7+H7+I7+L7+M7+P7</f>
        <v>292.71428571428572</v>
      </c>
      <c r="S7" s="53">
        <f t="shared" ref="S7:S30" si="0">Q7+R7</f>
        <v>1075.1428571428571</v>
      </c>
      <c r="T7" s="53">
        <f>N7+O7</f>
        <v>0.7142857142857143</v>
      </c>
      <c r="U7" s="53">
        <f>SUM(B7:P7)</f>
        <v>1075.1428571428573</v>
      </c>
      <c r="V7" s="46">
        <f>SUMPRODUCT(B7:P7,$B$4:$P$4)</f>
        <v>1623.714285714286</v>
      </c>
      <c r="W7" s="54">
        <f>V7/$V$31</f>
        <v>4.3723624836988516E-2</v>
      </c>
    </row>
    <row r="8" spans="1:27" x14ac:dyDescent="0.3">
      <c r="A8" s="62" t="str">
        <f>'Day-7'!A11</f>
        <v>13:00-14:00</v>
      </c>
      <c r="B8" s="16">
        <f>AVERAGE('Day-1'!X11,'Day-2'!X11,'Day-3'!X11,'Day-4'!X11,'Day-5'!X11,'Day-6'!X11,'Day-7'!X11)</f>
        <v>257.71428571428572</v>
      </c>
      <c r="C8" s="16">
        <f>AVERAGE('Day-1'!Y11,'Day-2'!Y11,'Day-3'!Y11,'Day-4'!Y11,'Day-5'!Y11,'Day-6'!Y11,'Day-7'!Y11)</f>
        <v>50.285714285714285</v>
      </c>
      <c r="D8" s="16">
        <f>AVERAGE('Day-1'!Z11,'Day-2'!Z11,'Day-3'!Z11,'Day-4'!Z11,'Day-5'!Z11,'Day-6'!Z11,'Day-7'!Z11)</f>
        <v>39.857142857142854</v>
      </c>
      <c r="E8" s="16">
        <f>AVERAGE('Day-1'!AA11,'Day-2'!AA11,'Day-3'!AA11,'Day-4'!AA11,'Day-5'!AA11,'Day-6'!AA11,'Day-7'!AA11)</f>
        <v>41.285714285714285</v>
      </c>
      <c r="F8" s="16">
        <f>AVERAGE('Day-1'!AB11,'Day-2'!AB11,'Day-3'!AB11,'Day-4'!AB11,'Day-5'!AB11,'Day-6'!AB11,'Day-7'!AB11)</f>
        <v>33.428571428571431</v>
      </c>
      <c r="G8" s="16">
        <f>AVERAGE('Day-1'!AC11,'Day-2'!AC11,'Day-3'!AC11,'Day-4'!AC11,'Day-5'!AC11,'Day-6'!AC11,'Day-7'!AC11)</f>
        <v>39.714285714285715</v>
      </c>
      <c r="H8" s="16">
        <f>AVERAGE('Day-1'!AD11,'Day-2'!AD11,'Day-3'!AD11,'Day-4'!AD11,'Day-5'!AD11,'Day-6'!AD11,'Day-7'!AD11)</f>
        <v>115.71428571428571</v>
      </c>
      <c r="I8" s="16">
        <f>AVERAGE('Day-1'!AE11,'Day-2'!AE11,'Day-3'!AE11,'Day-4'!AE11,'Day-5'!AE11,'Day-6'!AE11,'Day-7'!AE11)</f>
        <v>0</v>
      </c>
      <c r="J8" s="16">
        <f>AVERAGE('Day-1'!AF11,'Day-2'!AF11,'Day-3'!AF11,'Day-4'!AF11,'Day-5'!AF11,'Day-6'!AF11,'Day-7'!AF11)</f>
        <v>330.57142857142856</v>
      </c>
      <c r="K8" s="16">
        <f>AVERAGE('Day-1'!AG11,'Day-2'!AG11,'Day-3'!AG11,'Day-4'!AG11,'Day-5'!AG11,'Day-6'!AG11,'Day-7'!AG11)</f>
        <v>71.142857142857139</v>
      </c>
      <c r="L8" s="16">
        <f>AVERAGE('Day-1'!AH11,'Day-2'!AH11,'Day-3'!AH11,'Day-4'!AH11,'Day-5'!AH11,'Day-6'!AH11,'Day-7'!AH11)</f>
        <v>0.8571428571428571</v>
      </c>
      <c r="M8" s="16">
        <f>AVERAGE('Day-1'!AI11,'Day-2'!AI11,'Day-3'!AI11,'Day-4'!AI11,'Day-5'!AI11,'Day-6'!AI11,'Day-7'!AI11)</f>
        <v>5.5714285714285712</v>
      </c>
      <c r="N8" s="16">
        <f>AVERAGE('Day-1'!AJ11,'Day-2'!AJ11,'Day-3'!AJ11,'Day-4'!AJ11,'Day-5'!AJ11,'Day-6'!AJ11,'Day-7'!AJ11)</f>
        <v>1</v>
      </c>
      <c r="O8" s="16">
        <f>AVERAGE('Day-1'!AK11,'Day-2'!AK11,'Day-3'!AK11,'Day-4'!AK11,'Day-5'!AK11,'Day-6'!AK11,'Day-7'!AK11)</f>
        <v>0.5714285714285714</v>
      </c>
      <c r="P8" s="16">
        <f>AVERAGE('Day-1'!AL11,'Day-2'!AL11,'Day-3'!AL11,'Day-4'!AL11,'Day-5'!AL11,'Day-6'!AL11,'Day-7'!AL11)</f>
        <v>0.5714285714285714</v>
      </c>
      <c r="Q8" s="53">
        <f t="shared" ref="Q8:Q30" si="1">B8+C8+J8+K8+N8+O8</f>
        <v>711.28571428571422</v>
      </c>
      <c r="R8" s="53">
        <f t="shared" ref="R8:R30" si="2">D8+E8+F8+G8+H8+I8+L8+M8+P8</f>
        <v>276.99999999999994</v>
      </c>
      <c r="S8" s="53">
        <f t="shared" si="0"/>
        <v>988.28571428571422</v>
      </c>
      <c r="T8" s="53">
        <f t="shared" ref="T8:T30" si="3">N8+O8</f>
        <v>1.5714285714285714</v>
      </c>
      <c r="U8" s="53">
        <f t="shared" ref="U8:U30" si="4">SUM(B8:P8)</f>
        <v>988.28571428571422</v>
      </c>
      <c r="V8" s="46">
        <f t="shared" ref="V8:V30" si="5">SUMPRODUCT(B8:P8,$B$4:$P$4)</f>
        <v>1517.5</v>
      </c>
      <c r="W8" s="54">
        <f t="shared" ref="W8:W29" si="6">V8/$V$31</f>
        <v>4.0863470423272076E-2</v>
      </c>
    </row>
    <row r="9" spans="1:27" x14ac:dyDescent="0.3">
      <c r="A9" s="62" t="str">
        <f>'Day-7'!A12</f>
        <v>14:00-15:00</v>
      </c>
      <c r="B9" s="16">
        <f>AVERAGE('Day-1'!X12,'Day-2'!X12,'Day-3'!X12,'Day-4'!X12,'Day-5'!X12,'Day-6'!X12,'Day-7'!X12)</f>
        <v>293.42857142857144</v>
      </c>
      <c r="C9" s="16">
        <f>AVERAGE('Day-1'!Y12,'Day-2'!Y12,'Day-3'!Y12,'Day-4'!Y12,'Day-5'!Y12,'Day-6'!Y12,'Day-7'!Y12)</f>
        <v>46.285714285714285</v>
      </c>
      <c r="D9" s="16">
        <f>AVERAGE('Day-1'!Z12,'Day-2'!Z12,'Day-3'!Z12,'Day-4'!Z12,'Day-5'!Z12,'Day-6'!Z12,'Day-7'!Z12)</f>
        <v>41.285714285714285</v>
      </c>
      <c r="E9" s="16">
        <f>AVERAGE('Day-1'!AA12,'Day-2'!AA12,'Day-3'!AA12,'Day-4'!AA12,'Day-5'!AA12,'Day-6'!AA12,'Day-7'!AA12)</f>
        <v>40.714285714285715</v>
      </c>
      <c r="F9" s="16">
        <f>AVERAGE('Day-1'!AB12,'Day-2'!AB12,'Day-3'!AB12,'Day-4'!AB12,'Day-5'!AB12,'Day-6'!AB12,'Day-7'!AB12)</f>
        <v>33</v>
      </c>
      <c r="G9" s="16">
        <f>AVERAGE('Day-1'!AC12,'Day-2'!AC12,'Day-3'!AC12,'Day-4'!AC12,'Day-5'!AC12,'Day-6'!AC12,'Day-7'!AC12)</f>
        <v>46.571428571428569</v>
      </c>
      <c r="H9" s="16">
        <f>AVERAGE('Day-1'!AD12,'Day-2'!AD12,'Day-3'!AD12,'Day-4'!AD12,'Day-5'!AD12,'Day-6'!AD12,'Day-7'!AD12)</f>
        <v>114.71428571428571</v>
      </c>
      <c r="I9" s="16">
        <f>AVERAGE('Day-1'!AE12,'Day-2'!AE12,'Day-3'!AE12,'Day-4'!AE12,'Day-5'!AE12,'Day-6'!AE12,'Day-7'!AE12)</f>
        <v>0</v>
      </c>
      <c r="J9" s="16">
        <f>AVERAGE('Day-1'!AF12,'Day-2'!AF12,'Day-3'!AF12,'Day-4'!AF12,'Day-5'!AF12,'Day-6'!AF12,'Day-7'!AF12)</f>
        <v>338.28571428571428</v>
      </c>
      <c r="K9" s="16">
        <f>AVERAGE('Day-1'!AG12,'Day-2'!AG12,'Day-3'!AG12,'Day-4'!AG12,'Day-5'!AG12,'Day-6'!AG12,'Day-7'!AG12)</f>
        <v>75.285714285714292</v>
      </c>
      <c r="L9" s="16">
        <f>AVERAGE('Day-1'!AH12,'Day-2'!AH12,'Day-3'!AH12,'Day-4'!AH12,'Day-5'!AH12,'Day-6'!AH12,'Day-7'!AH12)</f>
        <v>2.1428571428571428</v>
      </c>
      <c r="M9" s="16">
        <f>AVERAGE('Day-1'!AI12,'Day-2'!AI12,'Day-3'!AI12,'Day-4'!AI12,'Day-5'!AI12,'Day-6'!AI12,'Day-7'!AI12)</f>
        <v>5.2857142857142856</v>
      </c>
      <c r="N9" s="16">
        <f>AVERAGE('Day-1'!AJ12,'Day-2'!AJ12,'Day-3'!AJ12,'Day-4'!AJ12,'Day-5'!AJ12,'Day-6'!AJ12,'Day-7'!AJ12)</f>
        <v>1</v>
      </c>
      <c r="O9" s="16">
        <f>AVERAGE('Day-1'!AK12,'Day-2'!AK12,'Day-3'!AK12,'Day-4'!AK12,'Day-5'!AK12,'Day-6'!AK12,'Day-7'!AK12)</f>
        <v>0.2857142857142857</v>
      </c>
      <c r="P9" s="16">
        <f>AVERAGE('Day-1'!AL12,'Day-2'!AL12,'Day-3'!AL12,'Day-4'!AL12,'Day-5'!AL12,'Day-6'!AL12,'Day-7'!AL12)</f>
        <v>0.2857142857142857</v>
      </c>
      <c r="Q9" s="53">
        <f t="shared" si="1"/>
        <v>754.57142857142867</v>
      </c>
      <c r="R9" s="53">
        <f t="shared" si="2"/>
        <v>284</v>
      </c>
      <c r="S9" s="53">
        <f t="shared" si="0"/>
        <v>1038.5714285714287</v>
      </c>
      <c r="T9" s="53">
        <f t="shared" si="3"/>
        <v>1.2857142857142856</v>
      </c>
      <c r="U9" s="53">
        <f t="shared" si="4"/>
        <v>1038.5714285714282</v>
      </c>
      <c r="V9" s="46">
        <f t="shared" si="5"/>
        <v>1563.3571428571427</v>
      </c>
      <c r="W9" s="54">
        <f t="shared" si="6"/>
        <v>4.2098318529261276E-2</v>
      </c>
      <c r="Y9" s="55"/>
      <c r="Z9" s="55"/>
      <c r="AA9" s="55"/>
    </row>
    <row r="10" spans="1:27" x14ac:dyDescent="0.3">
      <c r="A10" s="62" t="str">
        <f>'Day-7'!A13</f>
        <v>15:00-16:00</v>
      </c>
      <c r="B10" s="16">
        <f>AVERAGE('Day-1'!X13,'Day-2'!X13,'Day-3'!X13,'Day-4'!X13,'Day-5'!X13,'Day-6'!X13,'Day-7'!X13)</f>
        <v>388</v>
      </c>
      <c r="C10" s="16">
        <f>AVERAGE('Day-1'!Y13,'Day-2'!Y13,'Day-3'!Y13,'Day-4'!Y13,'Day-5'!Y13,'Day-6'!Y13,'Day-7'!Y13)</f>
        <v>53</v>
      </c>
      <c r="D10" s="16">
        <f>AVERAGE('Day-1'!Z13,'Day-2'!Z13,'Day-3'!Z13,'Day-4'!Z13,'Day-5'!Z13,'Day-6'!Z13,'Day-7'!Z13)</f>
        <v>43.714285714285715</v>
      </c>
      <c r="E10" s="16">
        <f>AVERAGE('Day-1'!AA13,'Day-2'!AA13,'Day-3'!AA13,'Day-4'!AA13,'Day-5'!AA13,'Day-6'!AA13,'Day-7'!AA13)</f>
        <v>40.857142857142854</v>
      </c>
      <c r="F10" s="16">
        <f>AVERAGE('Day-1'!AB13,'Day-2'!AB13,'Day-3'!AB13,'Day-4'!AB13,'Day-5'!AB13,'Day-6'!AB13,'Day-7'!AB13)</f>
        <v>39.285714285714285</v>
      </c>
      <c r="G10" s="16">
        <f>AVERAGE('Day-1'!AC13,'Day-2'!AC13,'Day-3'!AC13,'Day-4'!AC13,'Day-5'!AC13,'Day-6'!AC13,'Day-7'!AC13)</f>
        <v>49.714285714285715</v>
      </c>
      <c r="H10" s="16">
        <f>AVERAGE('Day-1'!AD13,'Day-2'!AD13,'Day-3'!AD13,'Day-4'!AD13,'Day-5'!AD13,'Day-6'!AD13,'Day-7'!AD13)</f>
        <v>136.42857142857142</v>
      </c>
      <c r="I10" s="16">
        <f>AVERAGE('Day-1'!AE13,'Day-2'!AE13,'Day-3'!AE13,'Day-4'!AE13,'Day-5'!AE13,'Day-6'!AE13,'Day-7'!AE13)</f>
        <v>0</v>
      </c>
      <c r="J10" s="16">
        <f>AVERAGE('Day-1'!AF13,'Day-2'!AF13,'Day-3'!AF13,'Day-4'!AF13,'Day-5'!AF13,'Day-6'!AF13,'Day-7'!AF13)</f>
        <v>383.57142857142856</v>
      </c>
      <c r="K10" s="16">
        <f>AVERAGE('Day-1'!AG13,'Day-2'!AG13,'Day-3'!AG13,'Day-4'!AG13,'Day-5'!AG13,'Day-6'!AG13,'Day-7'!AG13)</f>
        <v>79.285714285714292</v>
      </c>
      <c r="L10" s="16">
        <f>AVERAGE('Day-1'!AH13,'Day-2'!AH13,'Day-3'!AH13,'Day-4'!AH13,'Day-5'!AH13,'Day-6'!AH13,'Day-7'!AH13)</f>
        <v>1.4285714285714286</v>
      </c>
      <c r="M10" s="16">
        <f>AVERAGE('Day-1'!AI13,'Day-2'!AI13,'Day-3'!AI13,'Day-4'!AI13,'Day-5'!AI13,'Day-6'!AI13,'Day-7'!AI13)</f>
        <v>7.7142857142857144</v>
      </c>
      <c r="N10" s="16">
        <f>AVERAGE('Day-1'!AJ13,'Day-2'!AJ13,'Day-3'!AJ13,'Day-4'!AJ13,'Day-5'!AJ13,'Day-6'!AJ13,'Day-7'!AJ13)</f>
        <v>0.2857142857142857</v>
      </c>
      <c r="O10" s="16">
        <f>AVERAGE('Day-1'!AK13,'Day-2'!AK13,'Day-3'!AK13,'Day-4'!AK13,'Day-5'!AK13,'Day-6'!AK13,'Day-7'!AK13)</f>
        <v>0.42857142857142855</v>
      </c>
      <c r="P10" s="16">
        <f>AVERAGE('Day-1'!AL13,'Day-2'!AL13,'Day-3'!AL13,'Day-4'!AL13,'Day-5'!AL13,'Day-6'!AL13,'Day-7'!AL13)</f>
        <v>0.2857142857142857</v>
      </c>
      <c r="Q10" s="53">
        <f t="shared" si="1"/>
        <v>904.57142857142867</v>
      </c>
      <c r="R10" s="53">
        <f t="shared" si="2"/>
        <v>319.42857142857144</v>
      </c>
      <c r="S10" s="53">
        <f t="shared" si="0"/>
        <v>1224</v>
      </c>
      <c r="T10" s="53">
        <f t="shared" si="3"/>
        <v>0.71428571428571419</v>
      </c>
      <c r="U10" s="53">
        <f t="shared" si="4"/>
        <v>1223.9999999999995</v>
      </c>
      <c r="V10" s="46">
        <f t="shared" si="5"/>
        <v>1843.1428571428569</v>
      </c>
      <c r="W10" s="54">
        <f t="shared" si="6"/>
        <v>4.9632430727329369E-2</v>
      </c>
      <c r="Y10" s="55" t="s">
        <v>91</v>
      </c>
      <c r="Z10" s="55" t="s">
        <v>92</v>
      </c>
      <c r="AA10" s="55" t="s">
        <v>93</v>
      </c>
    </row>
    <row r="11" spans="1:27" x14ac:dyDescent="0.3">
      <c r="A11" s="62" t="str">
        <f>'Day-7'!A14</f>
        <v>16:00-17:00</v>
      </c>
      <c r="B11" s="16">
        <f>AVERAGE('Day-1'!X14,'Day-2'!X14,'Day-3'!X14,'Day-4'!X14,'Day-5'!X14,'Day-6'!X14,'Day-7'!X14)</f>
        <v>390.85714285714283</v>
      </c>
      <c r="C11" s="16">
        <f>AVERAGE('Day-1'!Y14,'Day-2'!Y14,'Day-3'!Y14,'Day-4'!Y14,'Day-5'!Y14,'Day-6'!Y14,'Day-7'!Y14)</f>
        <v>56.142857142857146</v>
      </c>
      <c r="D11" s="16">
        <f>AVERAGE('Day-1'!Z14,'Day-2'!Z14,'Day-3'!Z14,'Day-4'!Z14,'Day-5'!Z14,'Day-6'!Z14,'Day-7'!Z14)</f>
        <v>43.428571428571431</v>
      </c>
      <c r="E11" s="16">
        <f>AVERAGE('Day-1'!AA14,'Day-2'!AA14,'Day-3'!AA14,'Day-4'!AA14,'Day-5'!AA14,'Day-6'!AA14,'Day-7'!AA14)</f>
        <v>42</v>
      </c>
      <c r="F11" s="16">
        <f>AVERAGE('Day-1'!AB14,'Day-2'!AB14,'Day-3'!AB14,'Day-4'!AB14,'Day-5'!AB14,'Day-6'!AB14,'Day-7'!AB14)</f>
        <v>35.571428571428569</v>
      </c>
      <c r="G11" s="16">
        <f>AVERAGE('Day-1'!AC14,'Day-2'!AC14,'Day-3'!AC14,'Day-4'!AC14,'Day-5'!AC14,'Day-6'!AC14,'Day-7'!AC14)</f>
        <v>49.142857142857146</v>
      </c>
      <c r="H11" s="16">
        <f>AVERAGE('Day-1'!AD14,'Day-2'!AD14,'Day-3'!AD14,'Day-4'!AD14,'Day-5'!AD14,'Day-6'!AD14,'Day-7'!AD14)</f>
        <v>130.14285714285714</v>
      </c>
      <c r="I11" s="16">
        <f>AVERAGE('Day-1'!AE14,'Day-2'!AE14,'Day-3'!AE14,'Day-4'!AE14,'Day-5'!AE14,'Day-6'!AE14,'Day-7'!AE14)</f>
        <v>0</v>
      </c>
      <c r="J11" s="16">
        <f>AVERAGE('Day-1'!AF14,'Day-2'!AF14,'Day-3'!AF14,'Day-4'!AF14,'Day-5'!AF14,'Day-6'!AF14,'Day-7'!AF14)</f>
        <v>461.14285714285717</v>
      </c>
      <c r="K11" s="16">
        <f>AVERAGE('Day-1'!AG14,'Day-2'!AG14,'Day-3'!AG14,'Day-4'!AG14,'Day-5'!AG14,'Day-6'!AG14,'Day-7'!AG14)</f>
        <v>94.714285714285708</v>
      </c>
      <c r="L11" s="16">
        <f>AVERAGE('Day-1'!AH14,'Day-2'!AH14,'Day-3'!AH14,'Day-4'!AH14,'Day-5'!AH14,'Day-6'!AH14,'Day-7'!AH14)</f>
        <v>0.8571428571428571</v>
      </c>
      <c r="M11" s="16">
        <f>AVERAGE('Day-1'!AI14,'Day-2'!AI14,'Day-3'!AI14,'Day-4'!AI14,'Day-5'!AI14,'Day-6'!AI14,'Day-7'!AI14)</f>
        <v>7.5714285714285712</v>
      </c>
      <c r="N11" s="16">
        <f>AVERAGE('Day-1'!AJ14,'Day-2'!AJ14,'Day-3'!AJ14,'Day-4'!AJ14,'Day-5'!AJ14,'Day-6'!AJ14,'Day-7'!AJ14)</f>
        <v>0.5714285714285714</v>
      </c>
      <c r="O11" s="16">
        <f>AVERAGE('Day-1'!AK14,'Day-2'!AK14,'Day-3'!AK14,'Day-4'!AK14,'Day-5'!AK14,'Day-6'!AK14,'Day-7'!AK14)</f>
        <v>0</v>
      </c>
      <c r="P11" s="16">
        <f>AVERAGE('Day-1'!AL14,'Day-2'!AL14,'Day-3'!AL14,'Day-4'!AL14,'Day-5'!AL14,'Day-6'!AL14,'Day-7'!AL14)</f>
        <v>0</v>
      </c>
      <c r="Q11" s="53">
        <f t="shared" si="1"/>
        <v>1003.4285714285713</v>
      </c>
      <c r="R11" s="53">
        <f t="shared" si="2"/>
        <v>308.71428571428567</v>
      </c>
      <c r="S11" s="53">
        <f t="shared" si="0"/>
        <v>1312.1428571428569</v>
      </c>
      <c r="T11" s="53">
        <f t="shared" si="3"/>
        <v>0.5714285714285714</v>
      </c>
      <c r="U11" s="53">
        <f t="shared" si="4"/>
        <v>1312.1428571428573</v>
      </c>
      <c r="V11" s="46">
        <f t="shared" si="5"/>
        <v>1866.4285714285716</v>
      </c>
      <c r="W11" s="54">
        <f>V11/$V$31</f>
        <v>5.0259471977411131E-2</v>
      </c>
      <c r="Y11" s="64">
        <f>MAX(V7:V30)</f>
        <v>2057.7142857142853</v>
      </c>
      <c r="Z11" s="56" t="s">
        <v>231</v>
      </c>
      <c r="AA11" s="65">
        <f>Y11/V31</f>
        <v>5.5410442737285091E-2</v>
      </c>
    </row>
    <row r="12" spans="1:27" x14ac:dyDescent="0.3">
      <c r="A12" s="62" t="str">
        <f>'Day-7'!A15</f>
        <v>17:00-18:00</v>
      </c>
      <c r="B12" s="16">
        <f>AVERAGE('Day-1'!X15,'Day-2'!X15,'Day-3'!X15,'Day-4'!X15,'Day-5'!X15,'Day-6'!X15,'Day-7'!X15)</f>
        <v>403.85714285714283</v>
      </c>
      <c r="C12" s="16">
        <f>AVERAGE('Day-1'!Y15,'Day-2'!Y15,'Day-3'!Y15,'Day-4'!Y15,'Day-5'!Y15,'Day-6'!Y15,'Day-7'!Y15)</f>
        <v>56.285714285714285</v>
      </c>
      <c r="D12" s="16">
        <f>AVERAGE('Day-1'!Z15,'Day-2'!Z15,'Day-3'!Z15,'Day-4'!Z15,'Day-5'!Z15,'Day-6'!Z15,'Day-7'!Z15)</f>
        <v>42.857142857142854</v>
      </c>
      <c r="E12" s="16">
        <f>AVERAGE('Day-1'!AA15,'Day-2'!AA15,'Day-3'!AA15,'Day-4'!AA15,'Day-5'!AA15,'Day-6'!AA15,'Day-7'!AA15)</f>
        <v>46.571428571428569</v>
      </c>
      <c r="F12" s="16">
        <f>AVERAGE('Day-1'!AB15,'Day-2'!AB15,'Day-3'!AB15,'Day-4'!AB15,'Day-5'!AB15,'Day-6'!AB15,'Day-7'!AB15)</f>
        <v>34.428571428571431</v>
      </c>
      <c r="G12" s="16">
        <f>AVERAGE('Day-1'!AC15,'Day-2'!AC15,'Day-3'!AC15,'Day-4'!AC15,'Day-5'!AC15,'Day-6'!AC15,'Day-7'!AC15)</f>
        <v>45.142857142857146</v>
      </c>
      <c r="H12" s="16">
        <f>AVERAGE('Day-1'!AD15,'Day-2'!AD15,'Day-3'!AD15,'Day-4'!AD15,'Day-5'!AD15,'Day-6'!AD15,'Day-7'!AD15)</f>
        <v>150.71428571428572</v>
      </c>
      <c r="I12" s="16">
        <f>AVERAGE('Day-1'!AE15,'Day-2'!AE15,'Day-3'!AE15,'Day-4'!AE15,'Day-5'!AE15,'Day-6'!AE15,'Day-7'!AE15)</f>
        <v>0</v>
      </c>
      <c r="J12" s="16">
        <f>AVERAGE('Day-1'!AF15,'Day-2'!AF15,'Day-3'!AF15,'Day-4'!AF15,'Day-5'!AF15,'Day-6'!AF15,'Day-7'!AF15)</f>
        <v>482.14285714285717</v>
      </c>
      <c r="K12" s="16">
        <f>AVERAGE('Day-1'!AG15,'Day-2'!AG15,'Day-3'!AG15,'Day-4'!AG15,'Day-5'!AG15,'Day-6'!AG15,'Day-7'!AG15)</f>
        <v>87.285714285714292</v>
      </c>
      <c r="L12" s="16">
        <f>AVERAGE('Day-1'!AH15,'Day-2'!AH15,'Day-3'!AH15,'Day-4'!AH15,'Day-5'!AH15,'Day-6'!AH15,'Day-7'!AH15)</f>
        <v>1</v>
      </c>
      <c r="M12" s="16">
        <f>AVERAGE('Day-1'!AI15,'Day-2'!AI15,'Day-3'!AI15,'Day-4'!AI15,'Day-5'!AI15,'Day-6'!AI15,'Day-7'!AI15)</f>
        <v>8.4285714285714288</v>
      </c>
      <c r="N12" s="16">
        <f>AVERAGE('Day-1'!AJ15,'Day-2'!AJ15,'Day-3'!AJ15,'Day-4'!AJ15,'Day-5'!AJ15,'Day-6'!AJ15,'Day-7'!AJ15)</f>
        <v>0.2857142857142857</v>
      </c>
      <c r="O12" s="16">
        <f>AVERAGE('Day-1'!AK15,'Day-2'!AK15,'Day-3'!AK15,'Day-4'!AK15,'Day-5'!AK15,'Day-6'!AK15,'Day-7'!AK15)</f>
        <v>0</v>
      </c>
      <c r="P12" s="16">
        <f>AVERAGE('Day-1'!AL15,'Day-2'!AL15,'Day-3'!AL15,'Day-4'!AL15,'Day-5'!AL15,'Day-6'!AL15,'Day-7'!AL15)</f>
        <v>0.5714285714285714</v>
      </c>
      <c r="Q12" s="53">
        <f t="shared" si="1"/>
        <v>1029.8571428571427</v>
      </c>
      <c r="R12" s="53">
        <f t="shared" si="2"/>
        <v>329.71428571428572</v>
      </c>
      <c r="S12" s="53">
        <f t="shared" si="0"/>
        <v>1359.5714285714284</v>
      </c>
      <c r="T12" s="53">
        <f t="shared" si="3"/>
        <v>0.2857142857142857</v>
      </c>
      <c r="U12" s="53">
        <f t="shared" si="4"/>
        <v>1359.5714285714284</v>
      </c>
      <c r="V12" s="46">
        <f t="shared" si="5"/>
        <v>1972.8571428571431</v>
      </c>
      <c r="W12" s="54">
        <f t="shared" si="6"/>
        <v>5.3125396709379852E-2</v>
      </c>
    </row>
    <row r="13" spans="1:27" x14ac:dyDescent="0.3">
      <c r="A13" s="62" t="str">
        <f>'Day-7'!A16</f>
        <v>18:00-19:00</v>
      </c>
      <c r="B13" s="16">
        <f>AVERAGE('Day-1'!X16,'Day-2'!X16,'Day-3'!X16,'Day-4'!X16,'Day-5'!X16,'Day-6'!X16,'Day-7'!X16)</f>
        <v>373.42857142857144</v>
      </c>
      <c r="C13" s="16">
        <f>AVERAGE('Day-1'!Y16,'Day-2'!Y16,'Day-3'!Y16,'Day-4'!Y16,'Day-5'!Y16,'Day-6'!Y16,'Day-7'!Y16)</f>
        <v>50.857142857142854</v>
      </c>
      <c r="D13" s="16">
        <f>AVERAGE('Day-1'!Z16,'Day-2'!Z16,'Day-3'!Z16,'Day-4'!Z16,'Day-5'!Z16,'Day-6'!Z16,'Day-7'!Z16)</f>
        <v>39.714285714285715</v>
      </c>
      <c r="E13" s="16">
        <f>AVERAGE('Day-1'!AA16,'Day-2'!AA16,'Day-3'!AA16,'Day-4'!AA16,'Day-5'!AA16,'Day-6'!AA16,'Day-7'!AA16)</f>
        <v>50.142857142857146</v>
      </c>
      <c r="F13" s="16">
        <f>AVERAGE('Day-1'!AB16,'Day-2'!AB16,'Day-3'!AB16,'Day-4'!AB16,'Day-5'!AB16,'Day-6'!AB16,'Day-7'!AB16)</f>
        <v>39.714285714285715</v>
      </c>
      <c r="G13" s="16">
        <f>AVERAGE('Day-1'!AC16,'Day-2'!AC16,'Day-3'!AC16,'Day-4'!AC16,'Day-5'!AC16,'Day-6'!AC16,'Day-7'!AC16)</f>
        <v>45.857142857142854</v>
      </c>
      <c r="H13" s="16">
        <f>AVERAGE('Day-1'!AD16,'Day-2'!AD16,'Day-3'!AD16,'Day-4'!AD16,'Day-5'!AD16,'Day-6'!AD16,'Day-7'!AD16)</f>
        <v>153.71428571428572</v>
      </c>
      <c r="I13" s="16">
        <f>AVERAGE('Day-1'!AE16,'Day-2'!AE16,'Day-3'!AE16,'Day-4'!AE16,'Day-5'!AE16,'Day-6'!AE16,'Day-7'!AE16)</f>
        <v>0</v>
      </c>
      <c r="J13" s="16">
        <f>AVERAGE('Day-1'!AF16,'Day-2'!AF16,'Day-3'!AF16,'Day-4'!AF16,'Day-5'!AF16,'Day-6'!AF16,'Day-7'!AF16)</f>
        <v>472.42857142857144</v>
      </c>
      <c r="K13" s="16">
        <f>AVERAGE('Day-1'!AG16,'Day-2'!AG16,'Day-3'!AG16,'Day-4'!AG16,'Day-5'!AG16,'Day-6'!AG16,'Day-7'!AG16)</f>
        <v>70.285714285714292</v>
      </c>
      <c r="L13" s="16">
        <f>AVERAGE('Day-1'!AH16,'Day-2'!AH16,'Day-3'!AH16,'Day-4'!AH16,'Day-5'!AH16,'Day-6'!AH16,'Day-7'!AH16)</f>
        <v>0.7142857142857143</v>
      </c>
      <c r="M13" s="16">
        <f>AVERAGE('Day-1'!AI16,'Day-2'!AI16,'Day-3'!AI16,'Day-4'!AI16,'Day-5'!AI16,'Day-6'!AI16,'Day-7'!AI16)</f>
        <v>5.5714285714285712</v>
      </c>
      <c r="N13" s="16">
        <f>AVERAGE('Day-1'!AJ16,'Day-2'!AJ16,'Day-3'!AJ16,'Day-4'!AJ16,'Day-5'!AJ16,'Day-6'!AJ16,'Day-7'!AJ16)</f>
        <v>0.5714285714285714</v>
      </c>
      <c r="O13" s="16">
        <f>AVERAGE('Day-1'!AK16,'Day-2'!AK16,'Day-3'!AK16,'Day-4'!AK16,'Day-5'!AK16,'Day-6'!AK16,'Day-7'!AK16)</f>
        <v>0</v>
      </c>
      <c r="P13" s="16">
        <f>AVERAGE('Day-1'!AL16,'Day-2'!AL16,'Day-3'!AL16,'Day-4'!AL16,'Day-5'!AL16,'Day-6'!AL16,'Day-7'!AL16)</f>
        <v>0.14285714285714285</v>
      </c>
      <c r="Q13" s="53">
        <f t="shared" si="1"/>
        <v>967.57142857142867</v>
      </c>
      <c r="R13" s="53">
        <f t="shared" si="2"/>
        <v>335.57142857142861</v>
      </c>
      <c r="S13" s="53">
        <f t="shared" si="0"/>
        <v>1303.1428571428573</v>
      </c>
      <c r="T13" s="53">
        <f t="shared" si="3"/>
        <v>0.5714285714285714</v>
      </c>
      <c r="U13" s="53">
        <f t="shared" si="4"/>
        <v>1303.1428571428571</v>
      </c>
      <c r="V13" s="46">
        <f t="shared" si="5"/>
        <v>1922.9285714285713</v>
      </c>
      <c r="W13" s="54">
        <f t="shared" si="6"/>
        <v>5.1780912556597197E-2</v>
      </c>
    </row>
    <row r="14" spans="1:27" x14ac:dyDescent="0.3">
      <c r="A14" s="62" t="str">
        <f>'Day-7'!A17</f>
        <v>19:00-20:00</v>
      </c>
      <c r="B14" s="16">
        <f>AVERAGE('Day-1'!X17,'Day-2'!X17,'Day-3'!X17,'Day-4'!X17,'Day-5'!X17,'Day-6'!X17,'Day-7'!X17)</f>
        <v>311.14285714285717</v>
      </c>
      <c r="C14" s="16">
        <f>AVERAGE('Day-1'!Y17,'Day-2'!Y17,'Day-3'!Y17,'Day-4'!Y17,'Day-5'!Y17,'Day-6'!Y17,'Day-7'!Y17)</f>
        <v>46.714285714285715</v>
      </c>
      <c r="D14" s="16">
        <f>AVERAGE('Day-1'!Z17,'Day-2'!Z17,'Day-3'!Z17,'Day-4'!Z17,'Day-5'!Z17,'Day-6'!Z17,'Day-7'!Z17)</f>
        <v>33.857142857142854</v>
      </c>
      <c r="E14" s="16">
        <f>AVERAGE('Day-1'!AA17,'Day-2'!AA17,'Day-3'!AA17,'Day-4'!AA17,'Day-5'!AA17,'Day-6'!AA17,'Day-7'!AA17)</f>
        <v>58.142857142857146</v>
      </c>
      <c r="F14" s="16">
        <f>AVERAGE('Day-1'!AB17,'Day-2'!AB17,'Day-3'!AB17,'Day-4'!AB17,'Day-5'!AB17,'Day-6'!AB17,'Day-7'!AB17)</f>
        <v>37.571428571428569</v>
      </c>
      <c r="G14" s="16">
        <f>AVERAGE('Day-1'!AC17,'Day-2'!AC17,'Day-3'!AC17,'Day-4'!AC17,'Day-5'!AC17,'Day-6'!AC17,'Day-7'!AC17)</f>
        <v>43.571428571428569</v>
      </c>
      <c r="H14" s="16">
        <f>AVERAGE('Day-1'!AD17,'Day-2'!AD17,'Day-3'!AD17,'Day-4'!AD17,'Day-5'!AD17,'Day-6'!AD17,'Day-7'!AD17)</f>
        <v>144.14285714285714</v>
      </c>
      <c r="I14" s="16">
        <f>AVERAGE('Day-1'!AE17,'Day-2'!AE17,'Day-3'!AE17,'Day-4'!AE17,'Day-5'!AE17,'Day-6'!AE17,'Day-7'!AE17)</f>
        <v>0</v>
      </c>
      <c r="J14" s="16">
        <f>AVERAGE('Day-1'!AF17,'Day-2'!AF17,'Day-3'!AF17,'Day-4'!AF17,'Day-5'!AF17,'Day-6'!AF17,'Day-7'!AF17)</f>
        <v>391.28571428571428</v>
      </c>
      <c r="K14" s="16">
        <f>AVERAGE('Day-1'!AG17,'Day-2'!AG17,'Day-3'!AG17,'Day-4'!AG17,'Day-5'!AG17,'Day-6'!AG17,'Day-7'!AG17)</f>
        <v>42</v>
      </c>
      <c r="L14" s="16">
        <f>AVERAGE('Day-1'!AH17,'Day-2'!AH17,'Day-3'!AH17,'Day-4'!AH17,'Day-5'!AH17,'Day-6'!AH17,'Day-7'!AH17)</f>
        <v>1.4285714285714286</v>
      </c>
      <c r="M14" s="16">
        <f>AVERAGE('Day-1'!AI17,'Day-2'!AI17,'Day-3'!AI17,'Day-4'!AI17,'Day-5'!AI17,'Day-6'!AI17,'Day-7'!AI17)</f>
        <v>2.8571428571428572</v>
      </c>
      <c r="N14" s="16">
        <f>AVERAGE('Day-1'!AJ17,'Day-2'!AJ17,'Day-3'!AJ17,'Day-4'!AJ17,'Day-5'!AJ17,'Day-6'!AJ17,'Day-7'!AJ17)</f>
        <v>0</v>
      </c>
      <c r="O14" s="16">
        <f>AVERAGE('Day-1'!AK17,'Day-2'!AK17,'Day-3'!AK17,'Day-4'!AK17,'Day-5'!AK17,'Day-6'!AK17,'Day-7'!AK17)</f>
        <v>0</v>
      </c>
      <c r="P14" s="16">
        <f>AVERAGE('Day-1'!AL17,'Day-2'!AL17,'Day-3'!AL17,'Day-4'!AL17,'Day-5'!AL17,'Day-6'!AL17,'Day-7'!AL17)</f>
        <v>0</v>
      </c>
      <c r="Q14" s="53">
        <f t="shared" si="1"/>
        <v>791.14285714285711</v>
      </c>
      <c r="R14" s="53">
        <f t="shared" si="2"/>
        <v>321.5714285714285</v>
      </c>
      <c r="S14" s="53">
        <f t="shared" si="0"/>
        <v>1112.7142857142856</v>
      </c>
      <c r="T14" s="53">
        <f t="shared" si="3"/>
        <v>0</v>
      </c>
      <c r="U14" s="53">
        <f t="shared" si="4"/>
        <v>1112.7142857142856</v>
      </c>
      <c r="V14" s="46">
        <f t="shared" si="5"/>
        <v>1717.0714285714284</v>
      </c>
      <c r="W14" s="54">
        <f t="shared" si="6"/>
        <v>4.6237560155567771E-2</v>
      </c>
    </row>
    <row r="15" spans="1:27" x14ac:dyDescent="0.3">
      <c r="A15" s="62" t="str">
        <f>'Day-7'!A18</f>
        <v>20:00-21:00</v>
      </c>
      <c r="B15" s="16">
        <f>AVERAGE('Day-1'!X18,'Day-2'!X18,'Day-3'!X18,'Day-4'!X18,'Day-5'!X18,'Day-6'!X18,'Day-7'!X18)</f>
        <v>258.42857142857144</v>
      </c>
      <c r="C15" s="16">
        <f>AVERAGE('Day-1'!Y18,'Day-2'!Y18,'Day-3'!Y18,'Day-4'!Y18,'Day-5'!Y18,'Day-6'!Y18,'Day-7'!Y18)</f>
        <v>42.571428571428569</v>
      </c>
      <c r="D15" s="16">
        <f>AVERAGE('Day-1'!Z18,'Day-2'!Z18,'Day-3'!Z18,'Day-4'!Z18,'Day-5'!Z18,'Day-6'!Z18,'Day-7'!Z18)</f>
        <v>34.571428571428569</v>
      </c>
      <c r="E15" s="16">
        <f>AVERAGE('Day-1'!AA18,'Day-2'!AA18,'Day-3'!AA18,'Day-4'!AA18,'Day-5'!AA18,'Day-6'!AA18,'Day-7'!AA18)</f>
        <v>55.428571428571431</v>
      </c>
      <c r="F15" s="16">
        <f>AVERAGE('Day-1'!AB18,'Day-2'!AB18,'Day-3'!AB18,'Day-4'!AB18,'Day-5'!AB18,'Day-6'!AB18,'Day-7'!AB18)</f>
        <v>46.714285714285715</v>
      </c>
      <c r="G15" s="16">
        <f>AVERAGE('Day-1'!AC18,'Day-2'!AC18,'Day-3'!AC18,'Day-4'!AC18,'Day-5'!AC18,'Day-6'!AC18,'Day-7'!AC18)</f>
        <v>40.571428571428569</v>
      </c>
      <c r="H15" s="16">
        <f>AVERAGE('Day-1'!AD18,'Day-2'!AD18,'Day-3'!AD18,'Day-4'!AD18,'Day-5'!AD18,'Day-6'!AD18,'Day-7'!AD18)</f>
        <v>141.42857142857142</v>
      </c>
      <c r="I15" s="16">
        <f>AVERAGE('Day-1'!AE18,'Day-2'!AE18,'Day-3'!AE18,'Day-4'!AE18,'Day-5'!AE18,'Day-6'!AE18,'Day-7'!AE18)</f>
        <v>0</v>
      </c>
      <c r="J15" s="16">
        <f>AVERAGE('Day-1'!AF18,'Day-2'!AF18,'Day-3'!AF18,'Day-4'!AF18,'Day-5'!AF18,'Day-6'!AF18,'Day-7'!AF18)</f>
        <v>282.71428571428572</v>
      </c>
      <c r="K15" s="16">
        <f>AVERAGE('Day-1'!AG18,'Day-2'!AG18,'Day-3'!AG18,'Day-4'!AG18,'Day-5'!AG18,'Day-6'!AG18,'Day-7'!AG18)</f>
        <v>25.714285714285715</v>
      </c>
      <c r="L15" s="16">
        <f>AVERAGE('Day-1'!AH18,'Day-2'!AH18,'Day-3'!AH18,'Day-4'!AH18,'Day-5'!AH18,'Day-6'!AH18,'Day-7'!AH18)</f>
        <v>0.8571428571428571</v>
      </c>
      <c r="M15" s="16">
        <f>AVERAGE('Day-1'!AI18,'Day-2'!AI18,'Day-3'!AI18,'Day-4'!AI18,'Day-5'!AI18,'Day-6'!AI18,'Day-7'!AI18)</f>
        <v>1.5714285714285714</v>
      </c>
      <c r="N15" s="16">
        <f>AVERAGE('Day-1'!AJ18,'Day-2'!AJ18,'Day-3'!AJ18,'Day-4'!AJ18,'Day-5'!AJ18,'Day-6'!AJ18,'Day-7'!AJ18)</f>
        <v>0</v>
      </c>
      <c r="O15" s="16">
        <f>AVERAGE('Day-1'!AK18,'Day-2'!AK18,'Day-3'!AK18,'Day-4'!AK18,'Day-5'!AK18,'Day-6'!AK18,'Day-7'!AK18)</f>
        <v>0</v>
      </c>
      <c r="P15" s="16">
        <f>AVERAGE('Day-1'!AL18,'Day-2'!AL18,'Day-3'!AL18,'Day-4'!AL18,'Day-5'!AL18,'Day-6'!AL18,'Day-7'!AL18)</f>
        <v>0.2857142857142857</v>
      </c>
      <c r="Q15" s="53">
        <f t="shared" si="1"/>
        <v>609.42857142857144</v>
      </c>
      <c r="R15" s="53">
        <f t="shared" si="2"/>
        <v>321.42857142857133</v>
      </c>
      <c r="S15" s="53">
        <f t="shared" si="0"/>
        <v>930.85714285714278</v>
      </c>
      <c r="T15" s="53">
        <f t="shared" si="3"/>
        <v>0</v>
      </c>
      <c r="U15" s="53">
        <f t="shared" si="4"/>
        <v>930.85714285714278</v>
      </c>
      <c r="V15" s="46">
        <f t="shared" si="5"/>
        <v>1578.8571428571427</v>
      </c>
      <c r="W15" s="54">
        <f t="shared" si="6"/>
        <v>4.25157048828433E-2</v>
      </c>
    </row>
    <row r="16" spans="1:27" x14ac:dyDescent="0.3">
      <c r="A16" s="62" t="str">
        <f>'Day-7'!A19</f>
        <v>21:00-22:00</v>
      </c>
      <c r="B16" s="16">
        <f>AVERAGE('Day-1'!X19,'Day-2'!X19,'Day-3'!X19,'Day-4'!X19,'Day-5'!X19,'Day-6'!X19,'Day-7'!X19)</f>
        <v>188.85714285714286</v>
      </c>
      <c r="C16" s="16">
        <f>AVERAGE('Day-1'!Y19,'Day-2'!Y19,'Day-3'!Y19,'Day-4'!Y19,'Day-5'!Y19,'Day-6'!Y19,'Day-7'!Y19)</f>
        <v>43.714285714285715</v>
      </c>
      <c r="D16" s="16">
        <f>AVERAGE('Day-1'!Z19,'Day-2'!Z19,'Day-3'!Z19,'Day-4'!Z19,'Day-5'!Z19,'Day-6'!Z19,'Day-7'!Z19)</f>
        <v>36.285714285714285</v>
      </c>
      <c r="E16" s="16">
        <f>AVERAGE('Day-1'!AA19,'Day-2'!AA19,'Day-3'!AA19,'Day-4'!AA19,'Day-5'!AA19,'Day-6'!AA19,'Day-7'!AA19)</f>
        <v>45.571428571428569</v>
      </c>
      <c r="F16" s="16">
        <f>AVERAGE('Day-1'!AB19,'Day-2'!AB19,'Day-3'!AB19,'Day-4'!AB19,'Day-5'!AB19,'Day-6'!AB19,'Day-7'!AB19)</f>
        <v>40.714285714285715</v>
      </c>
      <c r="G16" s="16">
        <f>AVERAGE('Day-1'!AC19,'Day-2'!AC19,'Day-3'!AC19,'Day-4'!AC19,'Day-5'!AC19,'Day-6'!AC19,'Day-7'!AC19)</f>
        <v>37</v>
      </c>
      <c r="H16" s="16">
        <f>AVERAGE('Day-1'!AD19,'Day-2'!AD19,'Day-3'!AD19,'Day-4'!AD19,'Day-5'!AD19,'Day-6'!AD19,'Day-7'!AD19)</f>
        <v>159.71428571428572</v>
      </c>
      <c r="I16" s="16">
        <f>AVERAGE('Day-1'!AE19,'Day-2'!AE19,'Day-3'!AE19,'Day-4'!AE19,'Day-5'!AE19,'Day-6'!AE19,'Day-7'!AE19)</f>
        <v>0</v>
      </c>
      <c r="J16" s="16">
        <f>AVERAGE('Day-1'!AF19,'Day-2'!AF19,'Day-3'!AF19,'Day-4'!AF19,'Day-5'!AF19,'Day-6'!AF19,'Day-7'!AF19)</f>
        <v>185.42857142857142</v>
      </c>
      <c r="K16" s="16">
        <f>AVERAGE('Day-1'!AG19,'Day-2'!AG19,'Day-3'!AG19,'Day-4'!AG19,'Day-5'!AG19,'Day-6'!AG19,'Day-7'!AG19)</f>
        <v>17.142857142857142</v>
      </c>
      <c r="L16" s="16">
        <f>AVERAGE('Day-1'!AH19,'Day-2'!AH19,'Day-3'!AH19,'Day-4'!AH19,'Day-5'!AH19,'Day-6'!AH19,'Day-7'!AH19)</f>
        <v>0.2857142857142857</v>
      </c>
      <c r="M16" s="16">
        <f>AVERAGE('Day-1'!AI19,'Day-2'!AI19,'Day-3'!AI19,'Day-4'!AI19,'Day-5'!AI19,'Day-6'!AI19,'Day-7'!AI19)</f>
        <v>2</v>
      </c>
      <c r="N16" s="16">
        <f>AVERAGE('Day-1'!AJ19,'Day-2'!AJ19,'Day-3'!AJ19,'Day-4'!AJ19,'Day-5'!AJ19,'Day-6'!AJ19,'Day-7'!AJ19)</f>
        <v>0.2857142857142857</v>
      </c>
      <c r="O16" s="16">
        <f>AVERAGE('Day-1'!AK19,'Day-2'!AK19,'Day-3'!AK19,'Day-4'!AK19,'Day-5'!AK19,'Day-6'!AK19,'Day-7'!AK19)</f>
        <v>0</v>
      </c>
      <c r="P16" s="16">
        <f>AVERAGE('Day-1'!AL19,'Day-2'!AL19,'Day-3'!AL19,'Day-4'!AL19,'Day-5'!AL19,'Day-6'!AL19,'Day-7'!AL19)</f>
        <v>0</v>
      </c>
      <c r="Q16" s="53">
        <f t="shared" si="1"/>
        <v>435.42857142857144</v>
      </c>
      <c r="R16" s="53">
        <f t="shared" si="2"/>
        <v>321.57142857142861</v>
      </c>
      <c r="S16" s="53">
        <f t="shared" si="0"/>
        <v>757</v>
      </c>
      <c r="T16" s="53">
        <f t="shared" si="3"/>
        <v>0.2857142857142857</v>
      </c>
      <c r="U16" s="53">
        <f t="shared" si="4"/>
        <v>757.00000000000011</v>
      </c>
      <c r="V16" s="46">
        <f t="shared" si="5"/>
        <v>1495.9285714285713</v>
      </c>
      <c r="W16" s="54">
        <f t="shared" si="6"/>
        <v>4.0282591719208616E-2</v>
      </c>
    </row>
    <row r="17" spans="1:23" x14ac:dyDescent="0.3">
      <c r="A17" s="62" t="str">
        <f>'Day-7'!A20</f>
        <v>22:00-23:00</v>
      </c>
      <c r="B17" s="16">
        <f>AVERAGE('Day-1'!X20,'Day-2'!X20,'Day-3'!X20,'Day-4'!X20,'Day-5'!X20,'Day-6'!X20,'Day-7'!X20)</f>
        <v>123.14285714285714</v>
      </c>
      <c r="C17" s="16">
        <f>AVERAGE('Day-1'!Y20,'Day-2'!Y20,'Day-3'!Y20,'Day-4'!Y20,'Day-5'!Y20,'Day-6'!Y20,'Day-7'!Y20)</f>
        <v>25.285714285714285</v>
      </c>
      <c r="D17" s="16">
        <f>AVERAGE('Day-1'!Z20,'Day-2'!Z20,'Day-3'!Z20,'Day-4'!Z20,'Day-5'!Z20,'Day-6'!Z20,'Day-7'!Z20)</f>
        <v>31</v>
      </c>
      <c r="E17" s="16">
        <f>AVERAGE('Day-1'!AA20,'Day-2'!AA20,'Day-3'!AA20,'Day-4'!AA20,'Day-5'!AA20,'Day-6'!AA20,'Day-7'!AA20)</f>
        <v>47.571428571428569</v>
      </c>
      <c r="F17" s="16">
        <f>AVERAGE('Day-1'!AB20,'Day-2'!AB20,'Day-3'!AB20,'Day-4'!AB20,'Day-5'!AB20,'Day-6'!AB20,'Day-7'!AB20)</f>
        <v>40</v>
      </c>
      <c r="G17" s="16">
        <f>AVERAGE('Day-1'!AC20,'Day-2'!AC20,'Day-3'!AC20,'Day-4'!AC20,'Day-5'!AC20,'Day-6'!AC20,'Day-7'!AC20)</f>
        <v>40.142857142857146</v>
      </c>
      <c r="H17" s="16">
        <f>AVERAGE('Day-1'!AD20,'Day-2'!AD20,'Day-3'!AD20,'Day-4'!AD20,'Day-5'!AD20,'Day-6'!AD20,'Day-7'!AD20)</f>
        <v>157.28571428571428</v>
      </c>
      <c r="I17" s="16">
        <f>AVERAGE('Day-1'!AE20,'Day-2'!AE20,'Day-3'!AE20,'Day-4'!AE20,'Day-5'!AE20,'Day-6'!AE20,'Day-7'!AE20)</f>
        <v>0</v>
      </c>
      <c r="J17" s="16">
        <f>AVERAGE('Day-1'!AF20,'Day-2'!AF20,'Day-3'!AF20,'Day-4'!AF20,'Day-5'!AF20,'Day-6'!AF20,'Day-7'!AF20)</f>
        <v>108.85714285714286</v>
      </c>
      <c r="K17" s="16">
        <f>AVERAGE('Day-1'!AG20,'Day-2'!AG20,'Day-3'!AG20,'Day-4'!AG20,'Day-5'!AG20,'Day-6'!AG20,'Day-7'!AG20)</f>
        <v>13</v>
      </c>
      <c r="L17" s="16">
        <f>AVERAGE('Day-1'!AH20,'Day-2'!AH20,'Day-3'!AH20,'Day-4'!AH20,'Day-5'!AH20,'Day-6'!AH20,'Day-7'!AH20)</f>
        <v>0.7142857142857143</v>
      </c>
      <c r="M17" s="16">
        <f>AVERAGE('Day-1'!AI20,'Day-2'!AI20,'Day-3'!AI20,'Day-4'!AI20,'Day-5'!AI20,'Day-6'!AI20,'Day-7'!AI20)</f>
        <v>1.2857142857142858</v>
      </c>
      <c r="N17" s="16">
        <f>AVERAGE('Day-1'!AJ20,'Day-2'!AJ20,'Day-3'!AJ20,'Day-4'!AJ20,'Day-5'!AJ20,'Day-6'!AJ20,'Day-7'!AJ20)</f>
        <v>0</v>
      </c>
      <c r="O17" s="16">
        <f>AVERAGE('Day-1'!AK20,'Day-2'!AK20,'Day-3'!AK20,'Day-4'!AK20,'Day-5'!AK20,'Day-6'!AK20,'Day-7'!AK20)</f>
        <v>0</v>
      </c>
      <c r="P17" s="16">
        <f>AVERAGE('Day-1'!AL20,'Day-2'!AL20,'Day-3'!AL20,'Day-4'!AL20,'Day-5'!AL20,'Day-6'!AL20,'Day-7'!AL20)</f>
        <v>0</v>
      </c>
      <c r="Q17" s="53">
        <f t="shared" si="1"/>
        <v>270.28571428571428</v>
      </c>
      <c r="R17" s="53">
        <f t="shared" si="2"/>
        <v>318</v>
      </c>
      <c r="S17" s="53">
        <f t="shared" si="0"/>
        <v>588.28571428571422</v>
      </c>
      <c r="T17" s="53">
        <f t="shared" si="3"/>
        <v>0</v>
      </c>
      <c r="U17" s="53">
        <f t="shared" si="4"/>
        <v>588.28571428571433</v>
      </c>
      <c r="V17" s="46">
        <f t="shared" si="5"/>
        <v>1323.8571428571427</v>
      </c>
      <c r="W17" s="54">
        <f t="shared" si="6"/>
        <v>3.564902616262295E-2</v>
      </c>
    </row>
    <row r="18" spans="1:23" x14ac:dyDescent="0.3">
      <c r="A18" s="62" t="str">
        <f>'Day-7'!A21</f>
        <v>23:00-00:00</v>
      </c>
      <c r="B18" s="16">
        <f>AVERAGE('Day-1'!X21,'Day-2'!X21,'Day-3'!X21,'Day-4'!X21,'Day-5'!X21,'Day-6'!X21,'Day-7'!X21)</f>
        <v>88.285714285714292</v>
      </c>
      <c r="C18" s="16">
        <f>AVERAGE('Day-1'!Y21,'Day-2'!Y21,'Day-3'!Y21,'Day-4'!Y21,'Day-5'!Y21,'Day-6'!Y21,'Day-7'!Y21)</f>
        <v>14</v>
      </c>
      <c r="D18" s="16">
        <f>AVERAGE('Day-1'!Z21,'Day-2'!Z21,'Day-3'!Z21,'Day-4'!Z21,'Day-5'!Z21,'Day-6'!Z21,'Day-7'!Z21)</f>
        <v>25</v>
      </c>
      <c r="E18" s="16">
        <f>AVERAGE('Day-1'!AA21,'Day-2'!AA21,'Day-3'!AA21,'Day-4'!AA21,'Day-5'!AA21,'Day-6'!AA21,'Day-7'!AA21)</f>
        <v>35</v>
      </c>
      <c r="F18" s="16">
        <f>AVERAGE('Day-1'!AB21,'Day-2'!AB21,'Day-3'!AB21,'Day-4'!AB21,'Day-5'!AB21,'Day-6'!AB21,'Day-7'!AB21)</f>
        <v>32</v>
      </c>
      <c r="G18" s="16">
        <f>AVERAGE('Day-1'!AC21,'Day-2'!AC21,'Day-3'!AC21,'Day-4'!AC21,'Day-5'!AC21,'Day-6'!AC21,'Day-7'!AC21)</f>
        <v>32.714285714285715</v>
      </c>
      <c r="H18" s="16">
        <f>AVERAGE('Day-1'!AD21,'Day-2'!AD21,'Day-3'!AD21,'Day-4'!AD21,'Day-5'!AD21,'Day-6'!AD21,'Day-7'!AD21)</f>
        <v>166.71428571428572</v>
      </c>
      <c r="I18" s="16">
        <f>AVERAGE('Day-1'!AE21,'Day-2'!AE21,'Day-3'!AE21,'Day-4'!AE21,'Day-5'!AE21,'Day-6'!AE21,'Day-7'!AE21)</f>
        <v>0</v>
      </c>
      <c r="J18" s="16">
        <f>AVERAGE('Day-1'!AF21,'Day-2'!AF21,'Day-3'!AF21,'Day-4'!AF21,'Day-5'!AF21,'Day-6'!AF21,'Day-7'!AF21)</f>
        <v>56.428571428571431</v>
      </c>
      <c r="K18" s="16">
        <f>AVERAGE('Day-1'!AG21,'Day-2'!AG21,'Day-3'!AG21,'Day-4'!AG21,'Day-5'!AG21,'Day-6'!AG21,'Day-7'!AG21)</f>
        <v>5.1428571428571432</v>
      </c>
      <c r="L18" s="16">
        <f>AVERAGE('Day-1'!AH21,'Day-2'!AH21,'Day-3'!AH21,'Day-4'!AH21,'Day-5'!AH21,'Day-6'!AH21,'Day-7'!AH21)</f>
        <v>0.2857142857142857</v>
      </c>
      <c r="M18" s="16">
        <f>AVERAGE('Day-1'!AI21,'Day-2'!AI21,'Day-3'!AI21,'Day-4'!AI21,'Day-5'!AI21,'Day-6'!AI21,'Day-7'!AI21)</f>
        <v>0.8571428571428571</v>
      </c>
      <c r="N18" s="16">
        <f>AVERAGE('Day-1'!AJ21,'Day-2'!AJ21,'Day-3'!AJ21,'Day-4'!AJ21,'Day-5'!AJ21,'Day-6'!AJ21,'Day-7'!AJ21)</f>
        <v>0.2857142857142857</v>
      </c>
      <c r="O18" s="16">
        <f>AVERAGE('Day-1'!AK21,'Day-2'!AK21,'Day-3'!AK21,'Day-4'!AK21,'Day-5'!AK21,'Day-6'!AK21,'Day-7'!AK21)</f>
        <v>0</v>
      </c>
      <c r="P18" s="16">
        <f>AVERAGE('Day-1'!AL21,'Day-2'!AL21,'Day-3'!AL21,'Day-4'!AL21,'Day-5'!AL21,'Day-6'!AL21,'Day-7'!AL21)</f>
        <v>0</v>
      </c>
      <c r="Q18" s="53">
        <f t="shared" si="1"/>
        <v>164.14285714285714</v>
      </c>
      <c r="R18" s="53">
        <f t="shared" si="2"/>
        <v>292.57142857142856</v>
      </c>
      <c r="S18" s="53">
        <f t="shared" si="0"/>
        <v>456.71428571428567</v>
      </c>
      <c r="T18" s="53">
        <f t="shared" si="3"/>
        <v>0.2857142857142857</v>
      </c>
      <c r="U18" s="53">
        <f t="shared" si="4"/>
        <v>456.71428571428572</v>
      </c>
      <c r="V18" s="46">
        <f t="shared" si="5"/>
        <v>1189.9285714285716</v>
      </c>
      <c r="W18" s="54">
        <f t="shared" si="6"/>
        <v>3.20425772549442E-2</v>
      </c>
    </row>
    <row r="19" spans="1:23" x14ac:dyDescent="0.3">
      <c r="A19" s="62" t="str">
        <f>'Day-7'!A22</f>
        <v>00:00-01:00</v>
      </c>
      <c r="B19" s="16">
        <f>AVERAGE('Day-1'!X22,'Day-2'!X22,'Day-3'!X22,'Day-4'!X22,'Day-5'!X22,'Day-6'!X22,'Day-7'!X22)</f>
        <v>46.857142857142854</v>
      </c>
      <c r="C19" s="16">
        <f>AVERAGE('Day-1'!Y22,'Day-2'!Y22,'Day-3'!Y22,'Day-4'!Y22,'Day-5'!Y22,'Day-6'!Y22,'Day-7'!Y22)</f>
        <v>9.2857142857142865</v>
      </c>
      <c r="D19" s="16">
        <f>AVERAGE('Day-1'!Z22,'Day-2'!Z22,'Day-3'!Z22,'Day-4'!Z22,'Day-5'!Z22,'Day-6'!Z22,'Day-7'!Z22)</f>
        <v>23.571428571428573</v>
      </c>
      <c r="E19" s="16">
        <f>AVERAGE('Day-1'!AA22,'Day-2'!AA22,'Day-3'!AA22,'Day-4'!AA22,'Day-5'!AA22,'Day-6'!AA22,'Day-7'!AA22)</f>
        <v>32.285714285714285</v>
      </c>
      <c r="F19" s="16">
        <f>AVERAGE('Day-1'!AB22,'Day-2'!AB22,'Day-3'!AB22,'Day-4'!AB22,'Day-5'!AB22,'Day-6'!AB22,'Day-7'!AB22)</f>
        <v>28.285714285714285</v>
      </c>
      <c r="G19" s="16">
        <f>AVERAGE('Day-1'!AC22,'Day-2'!AC22,'Day-3'!AC22,'Day-4'!AC22,'Day-5'!AC22,'Day-6'!AC22,'Day-7'!AC22)</f>
        <v>37</v>
      </c>
      <c r="H19" s="16">
        <f>AVERAGE('Day-1'!AD22,'Day-2'!AD22,'Day-3'!AD22,'Day-4'!AD22,'Day-5'!AD22,'Day-6'!AD22,'Day-7'!AD22)</f>
        <v>163.57142857142858</v>
      </c>
      <c r="I19" s="16">
        <f>AVERAGE('Day-1'!AE22,'Day-2'!AE22,'Day-3'!AE22,'Day-4'!AE22,'Day-5'!AE22,'Day-6'!AE22,'Day-7'!AE22)</f>
        <v>0</v>
      </c>
      <c r="J19" s="16">
        <f>AVERAGE('Day-1'!AF22,'Day-2'!AF22,'Day-3'!AF22,'Day-4'!AF22,'Day-5'!AF22,'Day-6'!AF22,'Day-7'!AF22)</f>
        <v>31.714285714285715</v>
      </c>
      <c r="K19" s="16">
        <f>AVERAGE('Day-1'!AG22,'Day-2'!AG22,'Day-3'!AG22,'Day-4'!AG22,'Day-5'!AG22,'Day-6'!AG22,'Day-7'!AG22)</f>
        <v>3.8571428571428572</v>
      </c>
      <c r="L19" s="16">
        <f>AVERAGE('Day-1'!AH22,'Day-2'!AH22,'Day-3'!AH22,'Day-4'!AH22,'Day-5'!AH22,'Day-6'!AH22,'Day-7'!AH22)</f>
        <v>0</v>
      </c>
      <c r="M19" s="16">
        <f>AVERAGE('Day-1'!AI22,'Day-2'!AI22,'Day-3'!AI22,'Day-4'!AI22,'Day-5'!AI22,'Day-6'!AI22,'Day-7'!AI22)</f>
        <v>0.5714285714285714</v>
      </c>
      <c r="N19" s="16">
        <f>AVERAGE('Day-1'!AJ22,'Day-2'!AJ22,'Day-3'!AJ22,'Day-4'!AJ22,'Day-5'!AJ22,'Day-6'!AJ22,'Day-7'!AJ22)</f>
        <v>0.2857142857142857</v>
      </c>
      <c r="O19" s="16">
        <f>AVERAGE('Day-1'!AK22,'Day-2'!AK22,'Day-3'!AK22,'Day-4'!AK22,'Day-5'!AK22,'Day-6'!AK22,'Day-7'!AK22)</f>
        <v>0</v>
      </c>
      <c r="P19" s="16">
        <f>AVERAGE('Day-1'!AL22,'Day-2'!AL22,'Day-3'!AL22,'Day-4'!AL22,'Day-5'!AL22,'Day-6'!AL22,'Day-7'!AL22)</f>
        <v>0.2857142857142857</v>
      </c>
      <c r="Q19" s="53">
        <f t="shared" si="1"/>
        <v>92.000000000000014</v>
      </c>
      <c r="R19" s="53">
        <f t="shared" si="2"/>
        <v>285.57142857142856</v>
      </c>
      <c r="S19" s="53">
        <f t="shared" si="0"/>
        <v>377.57142857142856</v>
      </c>
      <c r="T19" s="53">
        <f t="shared" si="3"/>
        <v>0.2857142857142857</v>
      </c>
      <c r="U19" s="53">
        <f t="shared" si="4"/>
        <v>377.57142857142856</v>
      </c>
      <c r="V19" s="46">
        <f t="shared" si="5"/>
        <v>1102.3571428571431</v>
      </c>
      <c r="W19" s="54">
        <f t="shared" si="6"/>
        <v>2.9684440529176657E-2</v>
      </c>
    </row>
    <row r="20" spans="1:23" x14ac:dyDescent="0.3">
      <c r="A20" s="62" t="str">
        <f>'Day-7'!A23</f>
        <v>01:00-02:00</v>
      </c>
      <c r="B20" s="16">
        <f>AVERAGE('Day-1'!X23,'Day-2'!X23,'Day-3'!X23,'Day-4'!X23,'Day-5'!X23,'Day-6'!X23,'Day-7'!X23)</f>
        <v>36.285714285714285</v>
      </c>
      <c r="C20" s="16">
        <f>AVERAGE('Day-1'!Y23,'Day-2'!Y23,'Day-3'!Y23,'Day-4'!Y23,'Day-5'!Y23,'Day-6'!Y23,'Day-7'!Y23)</f>
        <v>7.4285714285714288</v>
      </c>
      <c r="D20" s="16">
        <f>AVERAGE('Day-1'!Z23,'Day-2'!Z23,'Day-3'!Z23,'Day-4'!Z23,'Day-5'!Z23,'Day-6'!Z23,'Day-7'!Z23)</f>
        <v>20</v>
      </c>
      <c r="E20" s="16">
        <f>AVERAGE('Day-1'!AA23,'Day-2'!AA23,'Day-3'!AA23,'Day-4'!AA23,'Day-5'!AA23,'Day-6'!AA23,'Day-7'!AA23)</f>
        <v>27.142857142857142</v>
      </c>
      <c r="F20" s="16">
        <f>AVERAGE('Day-1'!AB23,'Day-2'!AB23,'Day-3'!AB23,'Day-4'!AB23,'Day-5'!AB23,'Day-6'!AB23,'Day-7'!AB23)</f>
        <v>30.142857142857142</v>
      </c>
      <c r="G20" s="16">
        <f>AVERAGE('Day-1'!AC23,'Day-2'!AC23,'Day-3'!AC23,'Day-4'!AC23,'Day-5'!AC23,'Day-6'!AC23,'Day-7'!AC23)</f>
        <v>36.428571428571431</v>
      </c>
      <c r="H20" s="16">
        <f>AVERAGE('Day-1'!AD23,'Day-2'!AD23,'Day-3'!AD23,'Day-4'!AD23,'Day-5'!AD23,'Day-6'!AD23,'Day-7'!AD23)</f>
        <v>143.85714285714286</v>
      </c>
      <c r="I20" s="16">
        <f>AVERAGE('Day-1'!AE23,'Day-2'!AE23,'Day-3'!AE23,'Day-4'!AE23,'Day-5'!AE23,'Day-6'!AE23,'Day-7'!AE23)</f>
        <v>0</v>
      </c>
      <c r="J20" s="16">
        <f>AVERAGE('Day-1'!AF23,'Day-2'!AF23,'Day-3'!AF23,'Day-4'!AF23,'Day-5'!AF23,'Day-6'!AF23,'Day-7'!AF23)</f>
        <v>17.285714285714285</v>
      </c>
      <c r="K20" s="16">
        <f>AVERAGE('Day-1'!AG23,'Day-2'!AG23,'Day-3'!AG23,'Day-4'!AG23,'Day-5'!AG23,'Day-6'!AG23,'Day-7'!AG23)</f>
        <v>5.1428571428571432</v>
      </c>
      <c r="L20" s="16">
        <f>AVERAGE('Day-1'!AH23,'Day-2'!AH23,'Day-3'!AH23,'Day-4'!AH23,'Day-5'!AH23,'Day-6'!AH23,'Day-7'!AH23)</f>
        <v>0</v>
      </c>
      <c r="M20" s="16">
        <f>AVERAGE('Day-1'!AI23,'Day-2'!AI23,'Day-3'!AI23,'Day-4'!AI23,'Day-5'!AI23,'Day-6'!AI23,'Day-7'!AI23)</f>
        <v>1</v>
      </c>
      <c r="N20" s="16">
        <f>AVERAGE('Day-1'!AJ23,'Day-2'!AJ23,'Day-3'!AJ23,'Day-4'!AJ23,'Day-5'!AJ23,'Day-6'!AJ23,'Day-7'!AJ23)</f>
        <v>0</v>
      </c>
      <c r="O20" s="16">
        <f>AVERAGE('Day-1'!AK23,'Day-2'!AK23,'Day-3'!AK23,'Day-4'!AK23,'Day-5'!AK23,'Day-6'!AK23,'Day-7'!AK23)</f>
        <v>0</v>
      </c>
      <c r="P20" s="16">
        <f>AVERAGE('Day-1'!AL23,'Day-2'!AL23,'Day-3'!AL23,'Day-4'!AL23,'Day-5'!AL23,'Day-6'!AL23,'Day-7'!AL23)</f>
        <v>0</v>
      </c>
      <c r="Q20" s="53">
        <f t="shared" si="1"/>
        <v>66.142857142857139</v>
      </c>
      <c r="R20" s="53">
        <f t="shared" si="2"/>
        <v>258.57142857142856</v>
      </c>
      <c r="S20" s="53">
        <f t="shared" si="0"/>
        <v>324.71428571428567</v>
      </c>
      <c r="T20" s="53">
        <f t="shared" si="3"/>
        <v>0</v>
      </c>
      <c r="U20" s="53">
        <f t="shared" si="4"/>
        <v>324.71428571428578</v>
      </c>
      <c r="V20" s="46">
        <f t="shared" si="5"/>
        <v>984.64285714285711</v>
      </c>
      <c r="W20" s="54">
        <f t="shared" si="6"/>
        <v>2.6514612369254204E-2</v>
      </c>
    </row>
    <row r="21" spans="1:23" x14ac:dyDescent="0.3">
      <c r="A21" s="62" t="str">
        <f>'Day-7'!A24</f>
        <v>02:00-03:00</v>
      </c>
      <c r="B21" s="16">
        <f>AVERAGE('Day-1'!X24,'Day-2'!X24,'Day-3'!X24,'Day-4'!X24,'Day-5'!X24,'Day-6'!X24,'Day-7'!X24)</f>
        <v>29</v>
      </c>
      <c r="C21" s="16">
        <f>AVERAGE('Day-1'!Y24,'Day-2'!Y24,'Day-3'!Y24,'Day-4'!Y24,'Day-5'!Y24,'Day-6'!Y24,'Day-7'!Y24)</f>
        <v>8.4285714285714288</v>
      </c>
      <c r="D21" s="16">
        <f>AVERAGE('Day-1'!Z24,'Day-2'!Z24,'Day-3'!Z24,'Day-4'!Z24,'Day-5'!Z24,'Day-6'!Z24,'Day-7'!Z24)</f>
        <v>16.428571428571427</v>
      </c>
      <c r="E21" s="16">
        <f>AVERAGE('Day-1'!AA24,'Day-2'!AA24,'Day-3'!AA24,'Day-4'!AA24,'Day-5'!AA24,'Day-6'!AA24,'Day-7'!AA24)</f>
        <v>32.142857142857146</v>
      </c>
      <c r="F21" s="16">
        <f>AVERAGE('Day-1'!AB24,'Day-2'!AB24,'Day-3'!AB24,'Day-4'!AB24,'Day-5'!AB24,'Day-6'!AB24,'Day-7'!AB24)</f>
        <v>26.142857142857142</v>
      </c>
      <c r="G21" s="16">
        <f>AVERAGE('Day-1'!AC24,'Day-2'!AC24,'Day-3'!AC24,'Day-4'!AC24,'Day-5'!AC24,'Day-6'!AC24,'Day-7'!AC24)</f>
        <v>37</v>
      </c>
      <c r="H21" s="16">
        <f>AVERAGE('Day-1'!AD24,'Day-2'!AD24,'Day-3'!AD24,'Day-4'!AD24,'Day-5'!AD24,'Day-6'!AD24,'Day-7'!AD24)</f>
        <v>127.71428571428571</v>
      </c>
      <c r="I21" s="16">
        <f>AVERAGE('Day-1'!AE24,'Day-2'!AE24,'Day-3'!AE24,'Day-4'!AE24,'Day-5'!AE24,'Day-6'!AE24,'Day-7'!AE24)</f>
        <v>0</v>
      </c>
      <c r="J21" s="16">
        <f>AVERAGE('Day-1'!AF24,'Day-2'!AF24,'Day-3'!AF24,'Day-4'!AF24,'Day-5'!AF24,'Day-6'!AF24,'Day-7'!AF24)</f>
        <v>17.714285714285715</v>
      </c>
      <c r="K21" s="16">
        <f>AVERAGE('Day-1'!AG24,'Day-2'!AG24,'Day-3'!AG24,'Day-4'!AG24,'Day-5'!AG24,'Day-6'!AG24,'Day-7'!AG24)</f>
        <v>3.8571428571428572</v>
      </c>
      <c r="L21" s="16">
        <f>AVERAGE('Day-1'!AH24,'Day-2'!AH24,'Day-3'!AH24,'Day-4'!AH24,'Day-5'!AH24,'Day-6'!AH24,'Day-7'!AH24)</f>
        <v>0</v>
      </c>
      <c r="M21" s="16">
        <f>AVERAGE('Day-1'!AI24,'Day-2'!AI24,'Day-3'!AI24,'Day-4'!AI24,'Day-5'!AI24,'Day-6'!AI24,'Day-7'!AI24)</f>
        <v>0.8571428571428571</v>
      </c>
      <c r="N21" s="16">
        <f>AVERAGE('Day-1'!AJ24,'Day-2'!AJ24,'Day-3'!AJ24,'Day-4'!AJ24,'Day-5'!AJ24,'Day-6'!AJ24,'Day-7'!AJ24)</f>
        <v>0</v>
      </c>
      <c r="O21" s="16">
        <f>AVERAGE('Day-1'!AK24,'Day-2'!AK24,'Day-3'!AK24,'Day-4'!AK24,'Day-5'!AK24,'Day-6'!AK24,'Day-7'!AK24)</f>
        <v>0</v>
      </c>
      <c r="P21" s="16">
        <f>AVERAGE('Day-1'!AL24,'Day-2'!AL24,'Day-3'!AL24,'Day-4'!AL24,'Day-5'!AL24,'Day-6'!AL24,'Day-7'!AL24)</f>
        <v>0.5714285714285714</v>
      </c>
      <c r="Q21" s="53">
        <f t="shared" si="1"/>
        <v>59</v>
      </c>
      <c r="R21" s="53">
        <f t="shared" si="2"/>
        <v>240.85714285714286</v>
      </c>
      <c r="S21" s="53">
        <f t="shared" si="0"/>
        <v>299.85714285714289</v>
      </c>
      <c r="T21" s="53">
        <f t="shared" si="3"/>
        <v>0</v>
      </c>
      <c r="U21" s="53">
        <f t="shared" si="4"/>
        <v>299.85714285714278</v>
      </c>
      <c r="V21" s="46">
        <f t="shared" si="5"/>
        <v>902.21428571428578</v>
      </c>
      <c r="W21" s="54">
        <f t="shared" si="6"/>
        <v>2.4294963281541522E-2</v>
      </c>
    </row>
    <row r="22" spans="1:23" x14ac:dyDescent="0.3">
      <c r="A22" s="62" t="str">
        <f>'Day-7'!A25</f>
        <v>03:00-04:00</v>
      </c>
      <c r="B22" s="16">
        <f>AVERAGE('Day-1'!X25,'Day-2'!X25,'Day-3'!X25,'Day-4'!X25,'Day-5'!X25,'Day-6'!X25,'Day-7'!X25)</f>
        <v>35.857142857142854</v>
      </c>
      <c r="C22" s="16">
        <f>AVERAGE('Day-1'!Y25,'Day-2'!Y25,'Day-3'!Y25,'Day-4'!Y25,'Day-5'!Y25,'Day-6'!Y25,'Day-7'!Y25)</f>
        <v>10.571428571428571</v>
      </c>
      <c r="D22" s="16">
        <f>AVERAGE('Day-1'!Z25,'Day-2'!Z25,'Day-3'!Z25,'Day-4'!Z25,'Day-5'!Z25,'Day-6'!Z25,'Day-7'!Z25)</f>
        <v>19.714285714285715</v>
      </c>
      <c r="E22" s="16">
        <f>AVERAGE('Day-1'!AA25,'Day-2'!AA25,'Day-3'!AA25,'Day-4'!AA25,'Day-5'!AA25,'Day-6'!AA25,'Day-7'!AA25)</f>
        <v>29.857142857142858</v>
      </c>
      <c r="F22" s="16">
        <f>AVERAGE('Day-1'!AB25,'Day-2'!AB25,'Day-3'!AB25,'Day-4'!AB25,'Day-5'!AB25,'Day-6'!AB25,'Day-7'!AB25)</f>
        <v>26.571428571428573</v>
      </c>
      <c r="G22" s="16">
        <f>AVERAGE('Day-1'!AC25,'Day-2'!AC25,'Day-3'!AC25,'Day-4'!AC25,'Day-5'!AC25,'Day-6'!AC25,'Day-7'!AC25)</f>
        <v>34.142857142857146</v>
      </c>
      <c r="H22" s="16">
        <f>AVERAGE('Day-1'!AD25,'Day-2'!AD25,'Day-3'!AD25,'Day-4'!AD25,'Day-5'!AD25,'Day-6'!AD25,'Day-7'!AD25)</f>
        <v>126.71428571428571</v>
      </c>
      <c r="I22" s="16">
        <f>AVERAGE('Day-1'!AE25,'Day-2'!AE25,'Day-3'!AE25,'Day-4'!AE25,'Day-5'!AE25,'Day-6'!AE25,'Day-7'!AE25)</f>
        <v>0</v>
      </c>
      <c r="J22" s="16">
        <f>AVERAGE('Day-1'!AF25,'Day-2'!AF25,'Day-3'!AF25,'Day-4'!AF25,'Day-5'!AF25,'Day-6'!AF25,'Day-7'!AF25)</f>
        <v>37.142857142857146</v>
      </c>
      <c r="K22" s="16">
        <f>AVERAGE('Day-1'!AG25,'Day-2'!AG25,'Day-3'!AG25,'Day-4'!AG25,'Day-5'!AG25,'Day-6'!AG25,'Day-7'!AG25)</f>
        <v>10.428571428571429</v>
      </c>
      <c r="L22" s="16">
        <f>AVERAGE('Day-1'!AH25,'Day-2'!AH25,'Day-3'!AH25,'Day-4'!AH25,'Day-5'!AH25,'Day-6'!AH25,'Day-7'!AH25)</f>
        <v>0</v>
      </c>
      <c r="M22" s="16">
        <f>AVERAGE('Day-1'!AI25,'Day-2'!AI25,'Day-3'!AI25,'Day-4'!AI25,'Day-5'!AI25,'Day-6'!AI25,'Day-7'!AI25)</f>
        <v>2.4285714285714284</v>
      </c>
      <c r="N22" s="16">
        <f>AVERAGE('Day-1'!AJ25,'Day-2'!AJ25,'Day-3'!AJ25,'Day-4'!AJ25,'Day-5'!AJ25,'Day-6'!AJ25,'Day-7'!AJ25)</f>
        <v>0</v>
      </c>
      <c r="O22" s="16">
        <f>AVERAGE('Day-1'!AK25,'Day-2'!AK25,'Day-3'!AK25,'Day-4'!AK25,'Day-5'!AK25,'Day-6'!AK25,'Day-7'!AK25)</f>
        <v>0</v>
      </c>
      <c r="P22" s="16">
        <f>AVERAGE('Day-1'!AL25,'Day-2'!AL25,'Day-3'!AL25,'Day-4'!AL25,'Day-5'!AL25,'Day-6'!AL25,'Day-7'!AL25)</f>
        <v>0</v>
      </c>
      <c r="Q22" s="53">
        <f t="shared" si="1"/>
        <v>94</v>
      </c>
      <c r="R22" s="53">
        <f t="shared" si="2"/>
        <v>239.42857142857142</v>
      </c>
      <c r="S22" s="53">
        <f t="shared" si="0"/>
        <v>333.42857142857144</v>
      </c>
      <c r="T22" s="53">
        <f t="shared" si="3"/>
        <v>0</v>
      </c>
      <c r="U22" s="53">
        <f t="shared" si="4"/>
        <v>333.4285714285715</v>
      </c>
      <c r="V22" s="46">
        <f t="shared" si="5"/>
        <v>924.35714285714278</v>
      </c>
      <c r="W22" s="54">
        <f t="shared" si="6"/>
        <v>2.4891229500944405E-2</v>
      </c>
    </row>
    <row r="23" spans="1:23" x14ac:dyDescent="0.3">
      <c r="A23" s="62" t="str">
        <f>'Day-7'!A26</f>
        <v>04:00-05:00</v>
      </c>
      <c r="B23" s="16">
        <f>AVERAGE('Day-1'!X26,'Day-2'!X26,'Day-3'!X26,'Day-4'!X26,'Day-5'!X26,'Day-6'!X26,'Day-7'!X26)</f>
        <v>46</v>
      </c>
      <c r="C23" s="16">
        <f>AVERAGE('Day-1'!Y26,'Day-2'!Y26,'Day-3'!Y26,'Day-4'!Y26,'Day-5'!Y26,'Day-6'!Y26,'Day-7'!Y26)</f>
        <v>13.428571428571429</v>
      </c>
      <c r="D23" s="16">
        <f>AVERAGE('Day-1'!Z26,'Day-2'!Z26,'Day-3'!Z26,'Day-4'!Z26,'Day-5'!Z26,'Day-6'!Z26,'Day-7'!Z26)</f>
        <v>18.571428571428573</v>
      </c>
      <c r="E23" s="16">
        <f>AVERAGE('Day-1'!AA26,'Day-2'!AA26,'Day-3'!AA26,'Day-4'!AA26,'Day-5'!AA26,'Day-6'!AA26,'Day-7'!AA26)</f>
        <v>29.571428571428573</v>
      </c>
      <c r="F23" s="16">
        <f>AVERAGE('Day-1'!AB26,'Day-2'!AB26,'Day-3'!AB26,'Day-4'!AB26,'Day-5'!AB26,'Day-6'!AB26,'Day-7'!AB26)</f>
        <v>31.857142857142858</v>
      </c>
      <c r="G23" s="16">
        <f>AVERAGE('Day-1'!AC26,'Day-2'!AC26,'Day-3'!AC26,'Day-4'!AC26,'Day-5'!AC26,'Day-6'!AC26,'Day-7'!AC26)</f>
        <v>42</v>
      </c>
      <c r="H23" s="16">
        <f>AVERAGE('Day-1'!AD26,'Day-2'!AD26,'Day-3'!AD26,'Day-4'!AD26,'Day-5'!AD26,'Day-6'!AD26,'Day-7'!AD26)</f>
        <v>130.57142857142858</v>
      </c>
      <c r="I23" s="16">
        <f>AVERAGE('Day-1'!AE26,'Day-2'!AE26,'Day-3'!AE26,'Day-4'!AE26,'Day-5'!AE26,'Day-6'!AE26,'Day-7'!AE26)</f>
        <v>0</v>
      </c>
      <c r="J23" s="16">
        <f>AVERAGE('Day-1'!AF26,'Day-2'!AF26,'Day-3'!AF26,'Day-4'!AF26,'Day-5'!AF26,'Day-6'!AF26,'Day-7'!AF26)</f>
        <v>82.428571428571431</v>
      </c>
      <c r="K23" s="16">
        <f>AVERAGE('Day-1'!AG26,'Day-2'!AG26,'Day-3'!AG26,'Day-4'!AG26,'Day-5'!AG26,'Day-6'!AG26,'Day-7'!AG26)</f>
        <v>19.571428571428573</v>
      </c>
      <c r="L23" s="16">
        <f>AVERAGE('Day-1'!AH26,'Day-2'!AH26,'Day-3'!AH26,'Day-4'!AH26,'Day-5'!AH26,'Day-6'!AH26,'Day-7'!AH26)</f>
        <v>0</v>
      </c>
      <c r="M23" s="16">
        <f>AVERAGE('Day-1'!AI26,'Day-2'!AI26,'Day-3'!AI26,'Day-4'!AI26,'Day-5'!AI26,'Day-6'!AI26,'Day-7'!AI26)</f>
        <v>4.4285714285714288</v>
      </c>
      <c r="N23" s="16">
        <f>AVERAGE('Day-1'!AJ26,'Day-2'!AJ26,'Day-3'!AJ26,'Day-4'!AJ26,'Day-5'!AJ26,'Day-6'!AJ26,'Day-7'!AJ26)</f>
        <v>0.42857142857142855</v>
      </c>
      <c r="O23" s="16">
        <f>AVERAGE('Day-1'!AK26,'Day-2'!AK26,'Day-3'!AK26,'Day-4'!AK26,'Day-5'!AK26,'Day-6'!AK26,'Day-7'!AK26)</f>
        <v>0</v>
      </c>
      <c r="P23" s="16">
        <f>AVERAGE('Day-1'!AL26,'Day-2'!AL26,'Day-3'!AL26,'Day-4'!AL26,'Day-5'!AL26,'Day-6'!AL26,'Day-7'!AL26)</f>
        <v>0.2857142857142857</v>
      </c>
      <c r="Q23" s="53">
        <f t="shared" si="1"/>
        <v>161.85714285714286</v>
      </c>
      <c r="R23" s="53">
        <f t="shared" si="2"/>
        <v>257.28571428571428</v>
      </c>
      <c r="S23" s="53">
        <f t="shared" si="0"/>
        <v>419.14285714285711</v>
      </c>
      <c r="T23" s="53">
        <f t="shared" si="3"/>
        <v>0.42857142857142855</v>
      </c>
      <c r="U23" s="53">
        <f t="shared" si="4"/>
        <v>419.14285714285717</v>
      </c>
      <c r="V23" s="46">
        <f t="shared" si="5"/>
        <v>1040.5714285714284</v>
      </c>
      <c r="W23" s="54">
        <f t="shared" si="6"/>
        <v>2.8020665433100847E-2</v>
      </c>
    </row>
    <row r="24" spans="1:23" x14ac:dyDescent="0.3">
      <c r="A24" s="62" t="str">
        <f>'Day-7'!A27</f>
        <v>05:00-06:00</v>
      </c>
      <c r="B24" s="16">
        <f>AVERAGE('Day-1'!X27,'Day-2'!X27,'Day-3'!X27,'Day-4'!X27,'Day-5'!X27,'Day-6'!X27,'Day-7'!X27)</f>
        <v>94.857142857142861</v>
      </c>
      <c r="C24" s="16">
        <f>AVERAGE('Day-1'!Y27,'Day-2'!Y27,'Day-3'!Y27,'Day-4'!Y27,'Day-5'!Y27,'Day-6'!Y27,'Day-7'!Y27)</f>
        <v>28.714285714285715</v>
      </c>
      <c r="D24" s="16">
        <f>AVERAGE('Day-1'!Z27,'Day-2'!Z27,'Day-3'!Z27,'Day-4'!Z27,'Day-5'!Z27,'Day-6'!Z27,'Day-7'!Z27)</f>
        <v>25.857142857142858</v>
      </c>
      <c r="E24" s="16">
        <f>AVERAGE('Day-1'!AA27,'Day-2'!AA27,'Day-3'!AA27,'Day-4'!AA27,'Day-5'!AA27,'Day-6'!AA27,'Day-7'!AA27)</f>
        <v>39.142857142857146</v>
      </c>
      <c r="F24" s="16">
        <f>AVERAGE('Day-1'!AB27,'Day-2'!AB27,'Day-3'!AB27,'Day-4'!AB27,'Day-5'!AB27,'Day-6'!AB27,'Day-7'!AB27)</f>
        <v>37.428571428571431</v>
      </c>
      <c r="G24" s="16">
        <f>AVERAGE('Day-1'!AC27,'Day-2'!AC27,'Day-3'!AC27,'Day-4'!AC27,'Day-5'!AC27,'Day-6'!AC27,'Day-7'!AC27)</f>
        <v>43.142857142857146</v>
      </c>
      <c r="H24" s="16">
        <f>AVERAGE('Day-1'!AD27,'Day-2'!AD27,'Day-3'!AD27,'Day-4'!AD27,'Day-5'!AD27,'Day-6'!AD27,'Day-7'!AD27)</f>
        <v>148.85714285714286</v>
      </c>
      <c r="I24" s="16">
        <f>AVERAGE('Day-1'!AE27,'Day-2'!AE27,'Day-3'!AE27,'Day-4'!AE27,'Day-5'!AE27,'Day-6'!AE27,'Day-7'!AE27)</f>
        <v>0</v>
      </c>
      <c r="J24" s="16">
        <f>AVERAGE('Day-1'!AF27,'Day-2'!AF27,'Day-3'!AF27,'Day-4'!AF27,'Day-5'!AF27,'Day-6'!AF27,'Day-7'!AF27)</f>
        <v>189.71428571428572</v>
      </c>
      <c r="K24" s="16">
        <f>AVERAGE('Day-1'!AG27,'Day-2'!AG27,'Day-3'!AG27,'Day-4'!AG27,'Day-5'!AG27,'Day-6'!AG27,'Day-7'!AG27)</f>
        <v>31.714285714285715</v>
      </c>
      <c r="L24" s="16">
        <f>AVERAGE('Day-1'!AH27,'Day-2'!AH27,'Day-3'!AH27,'Day-4'!AH27,'Day-5'!AH27,'Day-6'!AH27,'Day-7'!AH27)</f>
        <v>0.2857142857142857</v>
      </c>
      <c r="M24" s="16">
        <f>AVERAGE('Day-1'!AI27,'Day-2'!AI27,'Day-3'!AI27,'Day-4'!AI27,'Day-5'!AI27,'Day-6'!AI27,'Day-7'!AI27)</f>
        <v>6</v>
      </c>
      <c r="N24" s="16">
        <f>AVERAGE('Day-1'!AJ27,'Day-2'!AJ27,'Day-3'!AJ27,'Day-4'!AJ27,'Day-5'!AJ27,'Day-6'!AJ27,'Day-7'!AJ27)</f>
        <v>1.7142857142857142</v>
      </c>
      <c r="O24" s="16">
        <f>AVERAGE('Day-1'!AK27,'Day-2'!AK27,'Day-3'!AK27,'Day-4'!AK27,'Day-5'!AK27,'Day-6'!AK27,'Day-7'!AK27)</f>
        <v>0</v>
      </c>
      <c r="P24" s="16">
        <f>AVERAGE('Day-1'!AL27,'Day-2'!AL27,'Day-3'!AL27,'Day-4'!AL27,'Day-5'!AL27,'Day-6'!AL27,'Day-7'!AL27)</f>
        <v>0.42857142857142855</v>
      </c>
      <c r="Q24" s="53">
        <f t="shared" si="1"/>
        <v>346.71428571428578</v>
      </c>
      <c r="R24" s="53">
        <f t="shared" si="2"/>
        <v>301.14285714285717</v>
      </c>
      <c r="S24" s="53">
        <f t="shared" si="0"/>
        <v>647.85714285714289</v>
      </c>
      <c r="T24" s="53">
        <f t="shared" si="3"/>
        <v>1.7142857142857142</v>
      </c>
      <c r="U24" s="53">
        <f t="shared" si="4"/>
        <v>647.85714285714289</v>
      </c>
      <c r="V24" s="46">
        <f t="shared" si="5"/>
        <v>1333.9285714285713</v>
      </c>
      <c r="W24" s="54">
        <f t="shared" si="6"/>
        <v>3.5920231120480393E-2</v>
      </c>
    </row>
    <row r="25" spans="1:23" x14ac:dyDescent="0.3">
      <c r="A25" s="62" t="str">
        <f>'Day-7'!A28</f>
        <v>06:00-07:00</v>
      </c>
      <c r="B25" s="16">
        <f>AVERAGE('Day-1'!X28,'Day-2'!X28,'Day-3'!X28,'Day-4'!X28,'Day-5'!X28,'Day-6'!X28,'Day-7'!X28)</f>
        <v>159.42857142857142</v>
      </c>
      <c r="C25" s="16">
        <f>AVERAGE('Day-1'!Y28,'Day-2'!Y28,'Day-3'!Y28,'Day-4'!Y28,'Day-5'!Y28,'Day-6'!Y28,'Day-7'!Y28)</f>
        <v>46.571428571428569</v>
      </c>
      <c r="D25" s="16">
        <f>AVERAGE('Day-1'!Z28,'Day-2'!Z28,'Day-3'!Z28,'Day-4'!Z28,'Day-5'!Z28,'Day-6'!Z28,'Day-7'!Z28)</f>
        <v>29.571428571428573</v>
      </c>
      <c r="E25" s="16">
        <f>AVERAGE('Day-1'!AA28,'Day-2'!AA28,'Day-3'!AA28,'Day-4'!AA28,'Day-5'!AA28,'Day-6'!AA28,'Day-7'!AA28)</f>
        <v>33.142857142857146</v>
      </c>
      <c r="F25" s="16">
        <f>AVERAGE('Day-1'!AB28,'Day-2'!AB28,'Day-3'!AB28,'Day-4'!AB28,'Day-5'!AB28,'Day-6'!AB28,'Day-7'!AB28)</f>
        <v>40</v>
      </c>
      <c r="G25" s="16">
        <f>AVERAGE('Day-1'!AC28,'Day-2'!AC28,'Day-3'!AC28,'Day-4'!AC28,'Day-5'!AC28,'Day-6'!AC28,'Day-7'!AC28)</f>
        <v>54.285714285714285</v>
      </c>
      <c r="H25" s="16">
        <f>AVERAGE('Day-1'!AD28,'Day-2'!AD28,'Day-3'!AD28,'Day-4'!AD28,'Day-5'!AD28,'Day-6'!AD28,'Day-7'!AD28)</f>
        <v>144.57142857142858</v>
      </c>
      <c r="I25" s="16">
        <f>AVERAGE('Day-1'!AE28,'Day-2'!AE28,'Day-3'!AE28,'Day-4'!AE28,'Day-5'!AE28,'Day-6'!AE28,'Day-7'!AE28)</f>
        <v>0</v>
      </c>
      <c r="J25" s="16">
        <f>AVERAGE('Day-1'!AF28,'Day-2'!AF28,'Day-3'!AF28,'Day-4'!AF28,'Day-5'!AF28,'Day-6'!AF28,'Day-7'!AF28)</f>
        <v>299.42857142857144</v>
      </c>
      <c r="K25" s="16">
        <f>AVERAGE('Day-1'!AG28,'Day-2'!AG28,'Day-3'!AG28,'Day-4'!AG28,'Day-5'!AG28,'Day-6'!AG28,'Day-7'!AG28)</f>
        <v>42.571428571428569</v>
      </c>
      <c r="L25" s="16">
        <f>AVERAGE('Day-1'!AH28,'Day-2'!AH28,'Day-3'!AH28,'Day-4'!AH28,'Day-5'!AH28,'Day-6'!AH28,'Day-7'!AH28)</f>
        <v>2.1428571428571428</v>
      </c>
      <c r="M25" s="16">
        <f>AVERAGE('Day-1'!AI28,'Day-2'!AI28,'Day-3'!AI28,'Day-4'!AI28,'Day-5'!AI28,'Day-6'!AI28,'Day-7'!AI28)</f>
        <v>4.5714285714285712</v>
      </c>
      <c r="N25" s="16">
        <f>AVERAGE('Day-1'!AJ28,'Day-2'!AJ28,'Day-3'!AJ28,'Day-4'!AJ28,'Day-5'!AJ28,'Day-6'!AJ28,'Day-7'!AJ28)</f>
        <v>0.7142857142857143</v>
      </c>
      <c r="O25" s="16">
        <f>AVERAGE('Day-1'!AK28,'Day-2'!AK28,'Day-3'!AK28,'Day-4'!AK28,'Day-5'!AK28,'Day-6'!AK28,'Day-7'!AK28)</f>
        <v>0.7142857142857143</v>
      </c>
      <c r="P25" s="16">
        <f>AVERAGE('Day-1'!AL28,'Day-2'!AL28,'Day-3'!AL28,'Day-4'!AL28,'Day-5'!AL28,'Day-6'!AL28,'Day-7'!AL28)</f>
        <v>0.7142857142857143</v>
      </c>
      <c r="Q25" s="53">
        <f t="shared" si="1"/>
        <v>549.42857142857133</v>
      </c>
      <c r="R25" s="53">
        <f t="shared" si="2"/>
        <v>309</v>
      </c>
      <c r="S25" s="53">
        <f t="shared" si="0"/>
        <v>858.42857142857133</v>
      </c>
      <c r="T25" s="53">
        <f t="shared" si="3"/>
        <v>1.4285714285714286</v>
      </c>
      <c r="U25" s="53">
        <f t="shared" si="4"/>
        <v>858.42857142857122</v>
      </c>
      <c r="V25" s="46">
        <f t="shared" si="5"/>
        <v>1532.9285714285718</v>
      </c>
      <c r="W25" s="54">
        <f t="shared" si="6"/>
        <v>4.127893333743668E-2</v>
      </c>
    </row>
    <row r="26" spans="1:23" x14ac:dyDescent="0.3">
      <c r="A26" s="62" t="str">
        <f>'Day-7'!A29</f>
        <v>07:00-08:00</v>
      </c>
      <c r="B26" s="16">
        <f>AVERAGE('Day-1'!X29,'Day-2'!X29,'Day-3'!X29,'Day-4'!X29,'Day-5'!X29,'Day-6'!X29,'Day-7'!X29)</f>
        <v>247.28571428571428</v>
      </c>
      <c r="C26" s="16">
        <f>AVERAGE('Day-1'!Y29,'Day-2'!Y29,'Day-3'!Y29,'Day-4'!Y29,'Day-5'!Y29,'Day-6'!Y29,'Day-7'!Y29)</f>
        <v>57</v>
      </c>
      <c r="D26" s="16">
        <f>AVERAGE('Day-1'!Z29,'Day-2'!Z29,'Day-3'!Z29,'Day-4'!Z29,'Day-5'!Z29,'Day-6'!Z29,'Day-7'!Z29)</f>
        <v>28.285714285714285</v>
      </c>
      <c r="E26" s="16">
        <f>AVERAGE('Day-1'!AA29,'Day-2'!AA29,'Day-3'!AA29,'Day-4'!AA29,'Day-5'!AA29,'Day-6'!AA29,'Day-7'!AA29)</f>
        <v>38.571428571428569</v>
      </c>
      <c r="F26" s="16">
        <f>AVERAGE('Day-1'!AB29,'Day-2'!AB29,'Day-3'!AB29,'Day-4'!AB29,'Day-5'!AB29,'Day-6'!AB29,'Day-7'!AB29)</f>
        <v>37.285714285714285</v>
      </c>
      <c r="G26" s="16">
        <f>AVERAGE('Day-1'!AC29,'Day-2'!AC29,'Day-3'!AC29,'Day-4'!AC29,'Day-5'!AC29,'Day-6'!AC29,'Day-7'!AC29)</f>
        <v>50.428571428571431</v>
      </c>
      <c r="H26" s="16">
        <f>AVERAGE('Day-1'!AD29,'Day-2'!AD29,'Day-3'!AD29,'Day-4'!AD29,'Day-5'!AD29,'Day-6'!AD29,'Day-7'!AD29)</f>
        <v>141.14285714285714</v>
      </c>
      <c r="I26" s="16">
        <f>AVERAGE('Day-1'!AE29,'Day-2'!AE29,'Day-3'!AE29,'Day-4'!AE29,'Day-5'!AE29,'Day-6'!AE29,'Day-7'!AE29)</f>
        <v>0</v>
      </c>
      <c r="J26" s="16">
        <f>AVERAGE('Day-1'!AF29,'Day-2'!AF29,'Day-3'!AF29,'Day-4'!AF29,'Day-5'!AF29,'Day-6'!AF29,'Day-7'!AF29)</f>
        <v>410.85714285714283</v>
      </c>
      <c r="K26" s="16">
        <f>AVERAGE('Day-1'!AG29,'Day-2'!AG29,'Day-3'!AG29,'Day-4'!AG29,'Day-5'!AG29,'Day-6'!AG29,'Day-7'!AG29)</f>
        <v>67.285714285714292</v>
      </c>
      <c r="L26" s="16">
        <f>AVERAGE('Day-1'!AH29,'Day-2'!AH29,'Day-3'!AH29,'Day-4'!AH29,'Day-5'!AH29,'Day-6'!AH29,'Day-7'!AH29)</f>
        <v>1.1428571428571428</v>
      </c>
      <c r="M26" s="16">
        <f>AVERAGE('Day-1'!AI29,'Day-2'!AI29,'Day-3'!AI29,'Day-4'!AI29,'Day-5'!AI29,'Day-6'!AI29,'Day-7'!AI29)</f>
        <v>6.5714285714285712</v>
      </c>
      <c r="N26" s="16">
        <f>AVERAGE('Day-1'!AJ29,'Day-2'!AJ29,'Day-3'!AJ29,'Day-4'!AJ29,'Day-5'!AJ29,'Day-6'!AJ29,'Day-7'!AJ29)</f>
        <v>0.2857142857142857</v>
      </c>
      <c r="O26" s="16">
        <f>AVERAGE('Day-1'!AK29,'Day-2'!AK29,'Day-3'!AK29,'Day-4'!AK29,'Day-5'!AK29,'Day-6'!AK29,'Day-7'!AK29)</f>
        <v>0</v>
      </c>
      <c r="P26" s="16">
        <f>AVERAGE('Day-1'!AL29,'Day-2'!AL29,'Day-3'!AL29,'Day-4'!AL29,'Day-5'!AL29,'Day-6'!AL29,'Day-7'!AL29)</f>
        <v>0.2857142857142857</v>
      </c>
      <c r="Q26" s="53">
        <f t="shared" si="1"/>
        <v>782.71428571428578</v>
      </c>
      <c r="R26" s="53">
        <f t="shared" si="2"/>
        <v>303.71428571428567</v>
      </c>
      <c r="S26" s="53">
        <f t="shared" si="0"/>
        <v>1086.4285714285716</v>
      </c>
      <c r="T26" s="53">
        <f t="shared" si="3"/>
        <v>0.2857142857142857</v>
      </c>
      <c r="U26" s="53">
        <f t="shared" si="4"/>
        <v>1086.4285714285713</v>
      </c>
      <c r="V26" s="46">
        <f t="shared" si="5"/>
        <v>1708.1428571428569</v>
      </c>
      <c r="W26" s="54">
        <f t="shared" si="6"/>
        <v>4.5997130228389187E-2</v>
      </c>
    </row>
    <row r="27" spans="1:23" x14ac:dyDescent="0.3">
      <c r="A27" s="62" t="str">
        <f>'Day-7'!A30</f>
        <v>08:00-09:00</v>
      </c>
      <c r="B27" s="16">
        <f>AVERAGE('Day-1'!X30,'Day-2'!X30,'Day-3'!X30,'Day-4'!X30,'Day-5'!X30,'Day-6'!X30,'Day-7'!X30)</f>
        <v>343.14285714285717</v>
      </c>
      <c r="C27" s="16">
        <f>AVERAGE('Day-1'!Y30,'Day-2'!Y30,'Day-3'!Y30,'Day-4'!Y30,'Day-5'!Y30,'Day-6'!Y30,'Day-7'!Y30)</f>
        <v>79.714285714285708</v>
      </c>
      <c r="D27" s="16">
        <f>AVERAGE('Day-1'!Z30,'Day-2'!Z30,'Day-3'!Z30,'Day-4'!Z30,'Day-5'!Z30,'Day-6'!Z30,'Day-7'!Z30)</f>
        <v>33.428571428571431</v>
      </c>
      <c r="E27" s="16">
        <f>AVERAGE('Day-1'!AA30,'Day-2'!AA30,'Day-3'!AA30,'Day-4'!AA30,'Day-5'!AA30,'Day-6'!AA30,'Day-7'!AA30)</f>
        <v>40</v>
      </c>
      <c r="F27" s="16">
        <f>AVERAGE('Day-1'!AB30,'Day-2'!AB30,'Day-3'!AB30,'Day-4'!AB30,'Day-5'!AB30,'Day-6'!AB30,'Day-7'!AB30)</f>
        <v>33.571428571428569</v>
      </c>
      <c r="G27" s="16">
        <f>AVERAGE('Day-1'!AC30,'Day-2'!AC30,'Day-3'!AC30,'Day-4'!AC30,'Day-5'!AC30,'Day-6'!AC30,'Day-7'!AC30)</f>
        <v>56.285714285714285</v>
      </c>
      <c r="H27" s="16">
        <f>AVERAGE('Day-1'!AD30,'Day-2'!AD30,'Day-3'!AD30,'Day-4'!AD30,'Day-5'!AD30,'Day-6'!AD30,'Day-7'!AD30)</f>
        <v>137.71428571428572</v>
      </c>
      <c r="I27" s="16">
        <f>AVERAGE('Day-1'!AE30,'Day-2'!AE30,'Day-3'!AE30,'Day-4'!AE30,'Day-5'!AE30,'Day-6'!AE30,'Day-7'!AE30)</f>
        <v>0</v>
      </c>
      <c r="J27" s="16">
        <f>AVERAGE('Day-1'!AF30,'Day-2'!AF30,'Day-3'!AF30,'Day-4'!AF30,'Day-5'!AF30,'Day-6'!AF30,'Day-7'!AF30)</f>
        <v>516.57142857142856</v>
      </c>
      <c r="K27" s="16">
        <f>AVERAGE('Day-1'!AG30,'Day-2'!AG30,'Day-3'!AG30,'Day-4'!AG30,'Day-5'!AG30,'Day-6'!AG30,'Day-7'!AG30)</f>
        <v>94</v>
      </c>
      <c r="L27" s="16">
        <f>AVERAGE('Day-1'!AH30,'Day-2'!AH30,'Day-3'!AH30,'Day-4'!AH30,'Day-5'!AH30,'Day-6'!AH30,'Day-7'!AH30)</f>
        <v>1.4285714285714286</v>
      </c>
      <c r="M27" s="16">
        <f>AVERAGE('Day-1'!AI30,'Day-2'!AI30,'Day-3'!AI30,'Day-4'!AI30,'Day-5'!AI30,'Day-6'!AI30,'Day-7'!AI30)</f>
        <v>8.5714285714285712</v>
      </c>
      <c r="N27" s="16">
        <f>AVERAGE('Day-1'!AJ30,'Day-2'!AJ30,'Day-3'!AJ30,'Day-4'!AJ30,'Day-5'!AJ30,'Day-6'!AJ30,'Day-7'!AJ30)</f>
        <v>1</v>
      </c>
      <c r="O27" s="16">
        <f>AVERAGE('Day-1'!AK30,'Day-2'!AK30,'Day-3'!AK30,'Day-4'!AK30,'Day-5'!AK30,'Day-6'!AK30,'Day-7'!AK30)</f>
        <v>0</v>
      </c>
      <c r="P27" s="16">
        <f>AVERAGE('Day-1'!AL30,'Day-2'!AL30,'Day-3'!AL30,'Day-4'!AL30,'Day-5'!AL30,'Day-6'!AL30,'Day-7'!AL30)</f>
        <v>0.2857142857142857</v>
      </c>
      <c r="Q27" s="53">
        <f t="shared" si="1"/>
        <v>1034.4285714285716</v>
      </c>
      <c r="R27" s="53">
        <f t="shared" si="2"/>
        <v>311.28571428571428</v>
      </c>
      <c r="S27" s="53">
        <f t="shared" si="0"/>
        <v>1345.7142857142858</v>
      </c>
      <c r="T27" s="53">
        <f t="shared" si="3"/>
        <v>1</v>
      </c>
      <c r="U27" s="53">
        <f t="shared" si="4"/>
        <v>1345.7142857142858</v>
      </c>
      <c r="V27" s="46">
        <f t="shared" si="5"/>
        <v>1959.7857142857142</v>
      </c>
      <c r="W27" s="54">
        <f t="shared" si="6"/>
        <v>5.2773407295990393E-2</v>
      </c>
    </row>
    <row r="28" spans="1:23" x14ac:dyDescent="0.3">
      <c r="A28" s="62" t="str">
        <f>'Day-7'!A31</f>
        <v>09:00-10:00</v>
      </c>
      <c r="B28" s="16">
        <f>AVERAGE('Day-1'!X31,'Day-2'!X31,'Day-3'!X31,'Day-4'!X31,'Day-5'!X31,'Day-6'!X31,'Day-7'!X31)</f>
        <v>457.71428571428572</v>
      </c>
      <c r="C28" s="16">
        <f>AVERAGE('Day-1'!Y31,'Day-2'!Y31,'Day-3'!Y31,'Day-4'!Y31,'Day-5'!Y31,'Day-6'!Y31,'Day-7'!Y31)</f>
        <v>49.285714285714285</v>
      </c>
      <c r="D28" s="16">
        <f>AVERAGE('Day-1'!Z31,'Day-2'!Z31,'Day-3'!Z31,'Day-4'!Z31,'Day-5'!Z31,'Day-6'!Z31,'Day-7'!Z31)</f>
        <v>40</v>
      </c>
      <c r="E28" s="16">
        <f>AVERAGE('Day-1'!AA31,'Day-2'!AA31,'Day-3'!AA31,'Day-4'!AA31,'Day-5'!AA31,'Day-6'!AA31,'Day-7'!AA31)</f>
        <v>39</v>
      </c>
      <c r="F28" s="16">
        <f>AVERAGE('Day-1'!AB31,'Day-2'!AB31,'Day-3'!AB31,'Day-4'!AB31,'Day-5'!AB31,'Day-6'!AB31,'Day-7'!AB31)</f>
        <v>34</v>
      </c>
      <c r="G28" s="16">
        <f>AVERAGE('Day-1'!AC31,'Day-2'!AC31,'Day-3'!AC31,'Day-4'!AC31,'Day-5'!AC31,'Day-6'!AC31,'Day-7'!AC31)</f>
        <v>50.857142857142854</v>
      </c>
      <c r="H28" s="16">
        <f>AVERAGE('Day-1'!AD31,'Day-2'!AD31,'Day-3'!AD31,'Day-4'!AD31,'Day-5'!AD31,'Day-6'!AD31,'Day-7'!AD31)</f>
        <v>152.71428571428572</v>
      </c>
      <c r="I28" s="16">
        <f>AVERAGE('Day-1'!AE31,'Day-2'!AE31,'Day-3'!AE31,'Day-4'!AE31,'Day-5'!AE31,'Day-6'!AE31,'Day-7'!AE31)</f>
        <v>0</v>
      </c>
      <c r="J28" s="16">
        <f>AVERAGE('Day-1'!AF31,'Day-2'!AF31,'Day-3'!AF31,'Day-4'!AF31,'Day-5'!AF31,'Day-6'!AF31,'Day-7'!AF31)</f>
        <v>494.14285714285717</v>
      </c>
      <c r="K28" s="16">
        <f>AVERAGE('Day-1'!AG31,'Day-2'!AG31,'Day-3'!AG31,'Day-4'!AG31,'Day-5'!AG31,'Day-6'!AG31,'Day-7'!AG31)</f>
        <v>106.42857142857143</v>
      </c>
      <c r="L28" s="16">
        <f>AVERAGE('Day-1'!AH31,'Day-2'!AH31,'Day-3'!AH31,'Day-4'!AH31,'Day-5'!AH31,'Day-6'!AH31,'Day-7'!AH31)</f>
        <v>2.5714285714285716</v>
      </c>
      <c r="M28" s="16">
        <f>AVERAGE('Day-1'!AI31,'Day-2'!AI31,'Day-3'!AI31,'Day-4'!AI31,'Day-5'!AI31,'Day-6'!AI31,'Day-7'!AI31)</f>
        <v>7.5714285714285712</v>
      </c>
      <c r="N28" s="16">
        <f>AVERAGE('Day-1'!AJ31,'Day-2'!AJ31,'Day-3'!AJ31,'Day-4'!AJ31,'Day-5'!AJ31,'Day-6'!AJ31,'Day-7'!AJ31)</f>
        <v>0.5714285714285714</v>
      </c>
      <c r="O28" s="16">
        <f>AVERAGE('Day-1'!AK31,'Day-2'!AK31,'Day-3'!AK31,'Day-4'!AK31,'Day-5'!AK31,'Day-6'!AK31,'Day-7'!AK31)</f>
        <v>0</v>
      </c>
      <c r="P28" s="16">
        <f>AVERAGE('Day-1'!AL31,'Day-2'!AL31,'Day-3'!AL31,'Day-4'!AL31,'Day-5'!AL31,'Day-6'!AL31,'Day-7'!AL31)</f>
        <v>1</v>
      </c>
      <c r="Q28" s="53">
        <f t="shared" si="1"/>
        <v>1108.1428571428571</v>
      </c>
      <c r="R28" s="53">
        <f t="shared" si="2"/>
        <v>327.71428571428567</v>
      </c>
      <c r="S28" s="53">
        <f t="shared" si="0"/>
        <v>1435.8571428571427</v>
      </c>
      <c r="T28" s="53">
        <f t="shared" si="3"/>
        <v>0.5714285714285714</v>
      </c>
      <c r="U28" s="53">
        <f t="shared" si="4"/>
        <v>1435.8571428571431</v>
      </c>
      <c r="V28" s="46">
        <f t="shared" si="5"/>
        <v>2042.0714285714287</v>
      </c>
      <c r="W28" s="54">
        <f t="shared" si="6"/>
        <v>5.4989209504868228E-2</v>
      </c>
    </row>
    <row r="29" spans="1:23" x14ac:dyDescent="0.3">
      <c r="A29" s="62" t="str">
        <f>'Day-7'!A32</f>
        <v>10:00-11:00</v>
      </c>
      <c r="B29" s="16">
        <f>AVERAGE('Day-1'!X32,'Day-2'!X32,'Day-3'!X32,'Day-4'!X32,'Day-5'!X32,'Day-6'!X32,'Day-7'!X32)</f>
        <v>455</v>
      </c>
      <c r="C29" s="16">
        <f>AVERAGE('Day-1'!Y32,'Day-2'!Y32,'Day-3'!Y32,'Day-4'!Y32,'Day-5'!Y32,'Day-6'!Y32,'Day-7'!Y32)</f>
        <v>50.714285714285715</v>
      </c>
      <c r="D29" s="16">
        <f>AVERAGE('Day-1'!Z32,'Day-2'!Z32,'Day-3'!Z32,'Day-4'!Z32,'Day-5'!Z32,'Day-6'!Z32,'Day-7'!Z32)</f>
        <v>44.142857142857146</v>
      </c>
      <c r="E29" s="16">
        <f>AVERAGE('Day-1'!AA32,'Day-2'!AA32,'Day-3'!AA32,'Day-4'!AA32,'Day-5'!AA32,'Day-6'!AA32,'Day-7'!AA32)</f>
        <v>40.714285714285715</v>
      </c>
      <c r="F29" s="16">
        <f>AVERAGE('Day-1'!AB32,'Day-2'!AB32,'Day-3'!AB32,'Day-4'!AB32,'Day-5'!AB32,'Day-6'!AB32,'Day-7'!AB32)</f>
        <v>46.714285714285715</v>
      </c>
      <c r="G29" s="16">
        <f>AVERAGE('Day-1'!AC32,'Day-2'!AC32,'Day-3'!AC32,'Day-4'!AC32,'Day-5'!AC32,'Day-6'!AC32,'Day-7'!AC32)</f>
        <v>53.285714285714285</v>
      </c>
      <c r="H29" s="16">
        <f>AVERAGE('Day-1'!AD32,'Day-2'!AD32,'Day-3'!AD32,'Day-4'!AD32,'Day-5'!AD32,'Day-6'!AD32,'Day-7'!AD32)</f>
        <v>152.71428571428572</v>
      </c>
      <c r="I29" s="16">
        <f>AVERAGE('Day-1'!AE32,'Day-2'!AE32,'Day-3'!AE32,'Day-4'!AE32,'Day-5'!AE32,'Day-6'!AE32,'Day-7'!AE32)</f>
        <v>0</v>
      </c>
      <c r="J29" s="16">
        <f>AVERAGE('Day-1'!AF32,'Day-2'!AF32,'Day-3'!AF32,'Day-4'!AF32,'Day-5'!AF32,'Day-6'!AF32,'Day-7'!AF32)</f>
        <v>422.57142857142856</v>
      </c>
      <c r="K29" s="16">
        <f>AVERAGE('Day-1'!AG32,'Day-2'!AG32,'Day-3'!AG32,'Day-4'!AG32,'Day-5'!AG32,'Day-6'!AG32,'Day-7'!AG32)</f>
        <v>105.71428571428571</v>
      </c>
      <c r="L29" s="16">
        <f>AVERAGE('Day-1'!AH32,'Day-2'!AH32,'Day-3'!AH32,'Day-4'!AH32,'Day-5'!AH32,'Day-6'!AH32,'Day-7'!AH32)</f>
        <v>1.4285714285714286</v>
      </c>
      <c r="M29" s="16">
        <f>AVERAGE('Day-1'!AI32,'Day-2'!AI32,'Day-3'!AI32,'Day-4'!AI32,'Day-5'!AI32,'Day-6'!AI32,'Day-7'!AI32)</f>
        <v>7.8571428571428568</v>
      </c>
      <c r="N29" s="16">
        <f>AVERAGE('Day-1'!AJ32,'Day-2'!AJ32,'Day-3'!AJ32,'Day-4'!AJ32,'Day-5'!AJ32,'Day-6'!AJ32,'Day-7'!AJ32)</f>
        <v>1</v>
      </c>
      <c r="O29" s="16">
        <f>AVERAGE('Day-1'!AK32,'Day-2'!AK32,'Day-3'!AK32,'Day-4'!AK32,'Day-5'!AK32,'Day-6'!AK32,'Day-7'!AK32)</f>
        <v>0.2857142857142857</v>
      </c>
      <c r="P29" s="16">
        <f>AVERAGE('Day-1'!AL32,'Day-2'!AL32,'Day-3'!AL32,'Day-4'!AL32,'Day-5'!AL32,'Day-6'!AL32,'Day-7'!AL32)</f>
        <v>0.5714285714285714</v>
      </c>
      <c r="Q29" s="53">
        <f t="shared" si="1"/>
        <v>1035.2857142857142</v>
      </c>
      <c r="R29" s="53">
        <f t="shared" si="2"/>
        <v>347.42857142857139</v>
      </c>
      <c r="S29" s="53">
        <f t="shared" si="0"/>
        <v>1382.7142857142856</v>
      </c>
      <c r="T29" s="53">
        <f t="shared" si="3"/>
        <v>1.2857142857142856</v>
      </c>
      <c r="U29" s="53">
        <f t="shared" si="4"/>
        <v>1382.7142857142856</v>
      </c>
      <c r="V29" s="46">
        <f t="shared" si="5"/>
        <v>2057.7142857142853</v>
      </c>
      <c r="W29" s="54">
        <f t="shared" si="6"/>
        <v>5.5410442737285091E-2</v>
      </c>
    </row>
    <row r="30" spans="1:23" ht="12" customHeight="1" x14ac:dyDescent="0.3">
      <c r="A30" s="62" t="str">
        <f>'Day-7'!A33</f>
        <v>11:00-12:00</v>
      </c>
      <c r="B30" s="16">
        <f>AVERAGE('Day-1'!X33,'Day-2'!X33,'Day-3'!X33,'Day-4'!X33,'Day-5'!X33,'Day-6'!X33,'Day-7'!X33)</f>
        <v>394.85714285714283</v>
      </c>
      <c r="C30" s="16">
        <f>AVERAGE('Day-1'!Y33,'Day-2'!Y33,'Day-3'!Y33,'Day-4'!Y33,'Day-5'!Y33,'Day-6'!Y33,'Day-7'!Y33)</f>
        <v>47.428571428571431</v>
      </c>
      <c r="D30" s="16">
        <f>AVERAGE('Day-1'!Z33,'Day-2'!Z33,'Day-3'!Z33,'Day-4'!Z33,'Day-5'!Z33,'Day-6'!Z33,'Day-7'!Z33)</f>
        <v>48.857142857142854</v>
      </c>
      <c r="E30" s="16">
        <f>AVERAGE('Day-1'!AA33,'Day-2'!AA33,'Day-3'!AA33,'Day-4'!AA33,'Day-5'!AA33,'Day-6'!AA33,'Day-7'!AA33)</f>
        <v>42.714285714285715</v>
      </c>
      <c r="F30" s="16">
        <f>AVERAGE('Day-1'!AB33,'Day-2'!AB33,'Day-3'!AB33,'Day-4'!AB33,'Day-5'!AB33,'Day-6'!AB33,'Day-7'!AB33)</f>
        <v>44.571428571428569</v>
      </c>
      <c r="G30" s="16">
        <f>AVERAGE('Day-1'!AC33,'Day-2'!AC33,'Day-3'!AC33,'Day-4'!AC33,'Day-5'!AC33,'Day-6'!AC33,'Day-7'!AC33)</f>
        <v>48.571428571428569</v>
      </c>
      <c r="H30" s="16">
        <f>AVERAGE('Day-1'!AD33,'Day-2'!AD33,'Day-3'!AD33,'Day-4'!AD33,'Day-5'!AD33,'Day-6'!AD33,'Day-7'!AD33)</f>
        <v>144</v>
      </c>
      <c r="I30" s="16">
        <f>AVERAGE('Day-1'!AE33,'Day-2'!AE33,'Day-3'!AE33,'Day-4'!AE33,'Day-5'!AE33,'Day-6'!AE33,'Day-7'!AE33)</f>
        <v>0</v>
      </c>
      <c r="J30" s="16">
        <f>AVERAGE('Day-1'!AF33,'Day-2'!AF33,'Day-3'!AF33,'Day-4'!AF33,'Day-5'!AF33,'Day-6'!AF33,'Day-7'!AF33)</f>
        <v>425</v>
      </c>
      <c r="K30" s="16">
        <f>AVERAGE('Day-1'!AG33,'Day-2'!AG33,'Day-3'!AG33,'Day-4'!AG33,'Day-5'!AG33,'Day-6'!AG33,'Day-7'!AG33)</f>
        <v>94</v>
      </c>
      <c r="L30" s="16">
        <f>AVERAGE('Day-1'!AH33,'Day-2'!AH33,'Day-3'!AH33,'Day-4'!AH33,'Day-5'!AH33,'Day-6'!AH33,'Day-7'!AH33)</f>
        <v>1.1428571428571428</v>
      </c>
      <c r="M30" s="16">
        <f>AVERAGE('Day-1'!AI33,'Day-2'!AI33,'Day-3'!AI33,'Day-4'!AI33,'Day-5'!AI33,'Day-6'!AI33,'Day-7'!AI33)</f>
        <v>9.2857142857142865</v>
      </c>
      <c r="N30" s="16">
        <f>AVERAGE('Day-1'!AJ33,'Day-2'!AJ33,'Day-3'!AJ33,'Day-4'!AJ33,'Day-5'!AJ33,'Day-6'!AJ33,'Day-7'!AJ33)</f>
        <v>0.5714285714285714</v>
      </c>
      <c r="O30" s="16">
        <f>AVERAGE('Day-1'!AK33,'Day-2'!AK33,'Day-3'!AK33,'Day-4'!AK33,'Day-5'!AK33,'Day-6'!AK33,'Day-7'!AK33)</f>
        <v>0.2857142857142857</v>
      </c>
      <c r="P30" s="16">
        <f>AVERAGE('Day-1'!AL33,'Day-2'!AL33,'Day-3'!AL33,'Day-4'!AL33,'Day-5'!AL33,'Day-6'!AL33,'Day-7'!AL33)</f>
        <v>0.7142857142857143</v>
      </c>
      <c r="Q30" s="53">
        <f t="shared" si="1"/>
        <v>962.14285714285711</v>
      </c>
      <c r="R30" s="53">
        <f t="shared" si="2"/>
        <v>339.85714285714289</v>
      </c>
      <c r="S30" s="53">
        <f t="shared" si="0"/>
        <v>1302</v>
      </c>
      <c r="T30" s="53">
        <f t="shared" si="3"/>
        <v>0.8571428571428571</v>
      </c>
      <c r="U30" s="53">
        <f t="shared" si="4"/>
        <v>1302</v>
      </c>
      <c r="V30" s="46">
        <f t="shared" si="5"/>
        <v>1931.5714285714287</v>
      </c>
      <c r="W30" s="54">
        <f>V30/$V$31</f>
        <v>5.2013648726106074E-2</v>
      </c>
    </row>
    <row r="31" spans="1:23" ht="12" customHeight="1" x14ac:dyDescent="0.3">
      <c r="A31" s="62" t="str">
        <f>'Day-7'!A34</f>
        <v>Total</v>
      </c>
      <c r="B31" s="116">
        <f>AVERAGE('Day-1'!X34,'Day-2'!X34,'Day-3'!X34,'Day-4'!X34,'Day-5'!X34,'Day-6'!X34,'Day-7'!X34)</f>
        <v>5734.5714285714284</v>
      </c>
      <c r="C31" s="116">
        <f t="shared" ref="C31:P31" si="7">SUM(C7:C30)</f>
        <v>941.28571428571422</v>
      </c>
      <c r="D31" s="116">
        <f t="shared" si="7"/>
        <v>801.99999999999989</v>
      </c>
      <c r="E31" s="116">
        <f t="shared" si="7"/>
        <v>974.28571428571422</v>
      </c>
      <c r="F31" s="116">
        <f t="shared" si="7"/>
        <v>862.85714285714289</v>
      </c>
      <c r="G31" s="116">
        <f t="shared" si="7"/>
        <v>1053.8571428571429</v>
      </c>
      <c r="H31" s="116">
        <f t="shared" si="7"/>
        <v>3406.4285714285716</v>
      </c>
      <c r="I31" s="116">
        <f t="shared" si="7"/>
        <v>0</v>
      </c>
      <c r="J31" s="116">
        <f t="shared" si="7"/>
        <v>6775.2857142857147</v>
      </c>
      <c r="K31" s="116">
        <f t="shared" si="7"/>
        <v>1250.7142857142856</v>
      </c>
      <c r="L31" s="116">
        <f t="shared" si="7"/>
        <v>21.857142857142858</v>
      </c>
      <c r="M31" s="116">
        <f t="shared" si="7"/>
        <v>114.99999999999999</v>
      </c>
      <c r="N31" s="116">
        <f t="shared" si="7"/>
        <v>11.571428571428571</v>
      </c>
      <c r="O31" s="116">
        <f t="shared" si="7"/>
        <v>2.5714285714285712</v>
      </c>
      <c r="P31" s="116">
        <f t="shared" si="7"/>
        <v>7.8571428571428568</v>
      </c>
      <c r="Q31" s="116">
        <f t="shared" ref="Q31:V31" si="8">SUM(Q7:Q30)</f>
        <v>14716</v>
      </c>
      <c r="R31" s="116">
        <f t="shared" si="8"/>
        <v>7244.1428571428569</v>
      </c>
      <c r="S31" s="116">
        <f t="shared" si="8"/>
        <v>21960.142857142859</v>
      </c>
      <c r="T31" s="116">
        <f t="shared" si="8"/>
        <v>14.142857142857142</v>
      </c>
      <c r="U31" s="116">
        <f t="shared" si="8"/>
        <v>21960.142857142859</v>
      </c>
      <c r="V31" s="116">
        <f t="shared" si="8"/>
        <v>37135.857142857145</v>
      </c>
    </row>
    <row r="33" spans="1:25" x14ac:dyDescent="0.3">
      <c r="A33" s="1" t="s">
        <v>32</v>
      </c>
      <c r="B33" s="1" t="s">
        <v>33</v>
      </c>
      <c r="D33" s="1" t="s">
        <v>34</v>
      </c>
    </row>
    <row r="34" spans="1:25" x14ac:dyDescent="0.3">
      <c r="A34" s="1">
        <v>1</v>
      </c>
      <c r="B34" s="1">
        <v>0.93</v>
      </c>
      <c r="D34" s="1">
        <v>1.05</v>
      </c>
    </row>
    <row r="43" spans="1:25" x14ac:dyDescent="0.3">
      <c r="A43" s="150" t="s">
        <v>197</v>
      </c>
      <c r="B43" s="150"/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</row>
    <row r="44" spans="1:25" x14ac:dyDescent="0.3">
      <c r="A44" s="172" t="str">
        <f>'Day-7'!B5</f>
        <v>Nathavalasa Toll Plaza</v>
      </c>
      <c r="B44" s="172"/>
      <c r="C44" s="172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</row>
    <row r="45" spans="1:25" ht="15" customHeight="1" x14ac:dyDescent="0.3">
      <c r="A45" s="172" t="s">
        <v>31</v>
      </c>
      <c r="B45" s="172"/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</row>
    <row r="46" spans="1:25" ht="30.75" customHeight="1" x14ac:dyDescent="0.3">
      <c r="A46" s="151" t="s">
        <v>2</v>
      </c>
      <c r="B46" s="171" t="s">
        <v>80</v>
      </c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0" t="s">
        <v>81</v>
      </c>
      <c r="O46" s="170"/>
      <c r="P46" s="103"/>
      <c r="Q46" s="104"/>
      <c r="R46" s="104"/>
      <c r="S46" s="104"/>
      <c r="T46" s="104"/>
      <c r="U46" s="104"/>
      <c r="V46" s="105"/>
      <c r="W46" s="57" t="s">
        <v>35</v>
      </c>
      <c r="X46" s="57" t="s">
        <v>36</v>
      </c>
      <c r="Y46" s="57" t="s">
        <v>37</v>
      </c>
    </row>
    <row r="47" spans="1:25" ht="92.25" customHeight="1" x14ac:dyDescent="0.3">
      <c r="A47" s="152"/>
      <c r="B47" s="43" t="s">
        <v>71</v>
      </c>
      <c r="C47" s="43" t="s">
        <v>79</v>
      </c>
      <c r="D47" s="43" t="s">
        <v>65</v>
      </c>
      <c r="E47" s="43" t="s">
        <v>66</v>
      </c>
      <c r="F47" s="43" t="s">
        <v>72</v>
      </c>
      <c r="G47" s="43" t="s">
        <v>73</v>
      </c>
      <c r="H47" s="43" t="s">
        <v>74</v>
      </c>
      <c r="I47" s="43" t="s">
        <v>82</v>
      </c>
      <c r="J47" s="43" t="s">
        <v>67</v>
      </c>
      <c r="K47" s="43" t="s">
        <v>68</v>
      </c>
      <c r="L47" s="43" t="s">
        <v>69</v>
      </c>
      <c r="M47" s="43" t="s">
        <v>70</v>
      </c>
      <c r="N47" s="43" t="s">
        <v>64</v>
      </c>
      <c r="O47" s="43" t="s">
        <v>75</v>
      </c>
      <c r="P47" s="43" t="s">
        <v>76</v>
      </c>
      <c r="Q47" s="43" t="s">
        <v>17</v>
      </c>
      <c r="R47" s="43" t="s">
        <v>18</v>
      </c>
      <c r="S47" s="43" t="s">
        <v>19</v>
      </c>
      <c r="T47" s="43" t="s">
        <v>20</v>
      </c>
      <c r="U47" s="43" t="s">
        <v>21</v>
      </c>
      <c r="V47" s="43" t="s">
        <v>22</v>
      </c>
      <c r="W47" s="57"/>
      <c r="X47" s="57"/>
      <c r="Y47" s="57"/>
    </row>
    <row r="48" spans="1:25" x14ac:dyDescent="0.3">
      <c r="A48" s="50" t="s">
        <v>38</v>
      </c>
      <c r="B48" s="98">
        <f>'Day-1'!X34</f>
        <v>6673</v>
      </c>
      <c r="C48" s="98">
        <f>'Day-1'!Y34</f>
        <v>890</v>
      </c>
      <c r="D48" s="98">
        <f>'Day-1'!Z34</f>
        <v>657</v>
      </c>
      <c r="E48" s="98">
        <f>'Day-1'!AA34</f>
        <v>798</v>
      </c>
      <c r="F48" s="98">
        <f>'Day-1'!AB34</f>
        <v>780</v>
      </c>
      <c r="G48" s="98">
        <f>'Day-1'!AC34</f>
        <v>1145</v>
      </c>
      <c r="H48" s="98">
        <f>'Day-1'!AD34</f>
        <v>2959</v>
      </c>
      <c r="I48" s="98">
        <f>'Day-1'!AE34</f>
        <v>0</v>
      </c>
      <c r="J48" s="98">
        <f>'Day-1'!AF34</f>
        <v>7797</v>
      </c>
      <c r="K48" s="98">
        <f>'Day-1'!AG34</f>
        <v>1434</v>
      </c>
      <c r="L48" s="98">
        <f>'Day-1'!AH34</f>
        <v>21</v>
      </c>
      <c r="M48" s="98">
        <f>'Day-1'!AI34</f>
        <v>84</v>
      </c>
      <c r="N48" s="98">
        <f>'Day-1'!AJ34</f>
        <v>30</v>
      </c>
      <c r="O48" s="98">
        <f>'Day-1'!AK34</f>
        <v>0</v>
      </c>
      <c r="P48" s="98">
        <f>'Day-1'!AL34</f>
        <v>2</v>
      </c>
      <c r="Q48" s="98">
        <f>'Day-1'!AM34</f>
        <v>16824</v>
      </c>
      <c r="R48" s="98">
        <f>'Day-1'!AN34</f>
        <v>6446</v>
      </c>
      <c r="S48" s="98">
        <f>'Day-1'!AO34</f>
        <v>23270</v>
      </c>
      <c r="T48" s="98">
        <f>'Day-1'!AP34</f>
        <v>30</v>
      </c>
      <c r="U48" s="98">
        <f>'Day-1'!AQ34</f>
        <v>23270</v>
      </c>
      <c r="V48" s="60">
        <f>SUMPRODUCT(B48:P48,$B$4:$P$4)</f>
        <v>36053.5</v>
      </c>
      <c r="W48" s="1" t="s">
        <v>51</v>
      </c>
      <c r="X48" s="14">
        <f>U48</f>
        <v>23270</v>
      </c>
      <c r="Y48" s="14">
        <f>V48</f>
        <v>36053.5</v>
      </c>
    </row>
    <row r="49" spans="1:25" x14ac:dyDescent="0.3">
      <c r="A49" s="50" t="s">
        <v>40</v>
      </c>
      <c r="B49" s="98">
        <f>'Day-2'!X34</f>
        <v>4853</v>
      </c>
      <c r="C49" s="98">
        <f>'Day-2'!Y34</f>
        <v>923</v>
      </c>
      <c r="D49" s="98">
        <f>'Day-2'!Z34</f>
        <v>833</v>
      </c>
      <c r="E49" s="98">
        <f>'Day-2'!AA34</f>
        <v>1047</v>
      </c>
      <c r="F49" s="98">
        <f>'Day-2'!AB34</f>
        <v>774</v>
      </c>
      <c r="G49" s="98">
        <f>'Day-2'!AC34</f>
        <v>1081</v>
      </c>
      <c r="H49" s="98">
        <f>'Day-2'!AD34</f>
        <v>3022</v>
      </c>
      <c r="I49" s="98">
        <f>'Day-2'!AE34</f>
        <v>0</v>
      </c>
      <c r="J49" s="98">
        <f>'Day-2'!AF34</f>
        <v>5859</v>
      </c>
      <c r="K49" s="98">
        <f>'Day-2'!AG34</f>
        <v>1124</v>
      </c>
      <c r="L49" s="98">
        <f>'Day-2'!AH34</f>
        <v>15</v>
      </c>
      <c r="M49" s="98">
        <f>'Day-2'!AI34</f>
        <v>120</v>
      </c>
      <c r="N49" s="98">
        <f>'Day-2'!AJ34</f>
        <v>10</v>
      </c>
      <c r="O49" s="98">
        <f>'Day-2'!AK34</f>
        <v>2</v>
      </c>
      <c r="P49" s="98">
        <f>'Day-2'!AL34</f>
        <v>9</v>
      </c>
      <c r="Q49" s="98">
        <f>'Day-2'!AM34</f>
        <v>12771</v>
      </c>
      <c r="R49" s="98">
        <f>'Day-2'!AN34</f>
        <v>6901</v>
      </c>
      <c r="S49" s="98">
        <f>'Day-2'!AO34</f>
        <v>19672</v>
      </c>
      <c r="T49" s="98">
        <f>'Day-2'!AP34</f>
        <v>12</v>
      </c>
      <c r="U49" s="98">
        <f>'Day-2'!AQ34</f>
        <v>19672</v>
      </c>
      <c r="V49" s="60">
        <f t="shared" ref="V49:V56" si="9">SUMPRODUCT(B49:P49,$B$4:$P$4)</f>
        <v>33855</v>
      </c>
      <c r="W49" s="1" t="s">
        <v>39</v>
      </c>
      <c r="X49" s="14">
        <f t="shared" ref="X49:X54" si="10">U49</f>
        <v>19672</v>
      </c>
      <c r="Y49" s="14">
        <f t="shared" ref="Y49:Y54" si="11">V49</f>
        <v>33855</v>
      </c>
    </row>
    <row r="50" spans="1:25" x14ac:dyDescent="0.3">
      <c r="A50" s="50" t="s">
        <v>42</v>
      </c>
      <c r="B50" s="98">
        <f>'Day-3'!X34</f>
        <v>5397</v>
      </c>
      <c r="C50" s="98">
        <f>'Day-3'!Y34</f>
        <v>970</v>
      </c>
      <c r="D50" s="98">
        <f>'Day-3'!Z34</f>
        <v>791</v>
      </c>
      <c r="E50" s="98">
        <f>'Day-3'!AA34</f>
        <v>979</v>
      </c>
      <c r="F50" s="98">
        <f>'Day-3'!AB34</f>
        <v>671</v>
      </c>
      <c r="G50" s="98">
        <f>'Day-3'!AC34</f>
        <v>1085</v>
      </c>
      <c r="H50" s="98">
        <f>'Day-3'!AD34</f>
        <v>3335</v>
      </c>
      <c r="I50" s="98">
        <f>'Day-3'!AE34</f>
        <v>0</v>
      </c>
      <c r="J50" s="98">
        <f>'Day-3'!AF34</f>
        <v>6275</v>
      </c>
      <c r="K50" s="98">
        <f>'Day-3'!AG34</f>
        <v>1223</v>
      </c>
      <c r="L50" s="98">
        <f>'Day-3'!AH34</f>
        <v>30</v>
      </c>
      <c r="M50" s="98">
        <f>'Day-3'!AI34</f>
        <v>130</v>
      </c>
      <c r="N50" s="98">
        <f>'Day-3'!AJ34</f>
        <v>4</v>
      </c>
      <c r="O50" s="98">
        <f>'Day-3'!AK34</f>
        <v>8</v>
      </c>
      <c r="P50" s="98">
        <f>'Day-3'!AL34</f>
        <v>4</v>
      </c>
      <c r="Q50" s="98">
        <f>'Day-3'!AM34</f>
        <v>6965</v>
      </c>
      <c r="R50" s="98">
        <f>'Day-3'!AN34</f>
        <v>3418</v>
      </c>
      <c r="S50" s="98">
        <f>'Day-3'!AO34</f>
        <v>10383</v>
      </c>
      <c r="T50" s="98">
        <f>'Day-3'!AP34</f>
        <v>12</v>
      </c>
      <c r="U50" s="98">
        <f>'Day-3'!AQ34</f>
        <v>20902</v>
      </c>
      <c r="V50" s="60">
        <f t="shared" si="9"/>
        <v>35868.5</v>
      </c>
      <c r="W50" s="1" t="s">
        <v>41</v>
      </c>
      <c r="X50" s="14">
        <f>U50</f>
        <v>20902</v>
      </c>
      <c r="Y50" s="14">
        <f t="shared" si="11"/>
        <v>35868.5</v>
      </c>
    </row>
    <row r="51" spans="1:25" x14ac:dyDescent="0.3">
      <c r="A51" s="50" t="s">
        <v>44</v>
      </c>
      <c r="B51" s="98">
        <f>'Day-4'!X34</f>
        <v>5325</v>
      </c>
      <c r="C51" s="98">
        <f>'Day-4'!Y34</f>
        <v>986</v>
      </c>
      <c r="D51" s="98">
        <f>'Day-4'!Z34</f>
        <v>797</v>
      </c>
      <c r="E51" s="98">
        <f>'Day-4'!AA34</f>
        <v>918</v>
      </c>
      <c r="F51" s="98">
        <f>'Day-4'!AB34</f>
        <v>1070</v>
      </c>
      <c r="G51" s="98">
        <f>'Day-4'!AC34</f>
        <v>1081</v>
      </c>
      <c r="H51" s="98">
        <f>'Day-4'!AD34</f>
        <v>3071</v>
      </c>
      <c r="I51" s="98">
        <f>'Day-4'!AE34</f>
        <v>0</v>
      </c>
      <c r="J51" s="98">
        <f>'Day-4'!AF34</f>
        <v>6360</v>
      </c>
      <c r="K51" s="98">
        <f>'Day-4'!AG34</f>
        <v>1232</v>
      </c>
      <c r="L51" s="98">
        <f>'Day-4'!AH34</f>
        <v>12</v>
      </c>
      <c r="M51" s="98">
        <f>'Day-4'!AI34</f>
        <v>83</v>
      </c>
      <c r="N51" s="98">
        <f>'Day-4'!AJ34</f>
        <v>8</v>
      </c>
      <c r="O51" s="98">
        <f>'Day-4'!AK34</f>
        <v>4</v>
      </c>
      <c r="P51" s="98">
        <f>'Day-4'!AL34</f>
        <v>4</v>
      </c>
      <c r="Q51" s="98">
        <f>'Day-4'!AM34</f>
        <v>13915</v>
      </c>
      <c r="R51" s="98">
        <f>'Day-4'!AN34</f>
        <v>7036</v>
      </c>
      <c r="S51" s="98">
        <f>'Day-4'!AO34</f>
        <v>20951</v>
      </c>
      <c r="T51" s="98">
        <f>'Day-4'!AP34</f>
        <v>12</v>
      </c>
      <c r="U51" s="98">
        <f>'Day-4'!AQ34</f>
        <v>20951</v>
      </c>
      <c r="V51" s="60">
        <f t="shared" si="9"/>
        <v>35563</v>
      </c>
      <c r="W51" s="1" t="s">
        <v>43</v>
      </c>
      <c r="X51" s="14">
        <f t="shared" si="10"/>
        <v>20951</v>
      </c>
      <c r="Y51" s="14">
        <f t="shared" si="11"/>
        <v>35563</v>
      </c>
    </row>
    <row r="52" spans="1:25" x14ac:dyDescent="0.3">
      <c r="A52" s="50" t="s">
        <v>46</v>
      </c>
      <c r="B52" s="98">
        <f>'Day-5'!X34</f>
        <v>4816</v>
      </c>
      <c r="C52" s="98">
        <f>'Day-5'!Y34</f>
        <v>930</v>
      </c>
      <c r="D52" s="98">
        <f>'Day-5'!Z34</f>
        <v>840</v>
      </c>
      <c r="E52" s="98">
        <f>'Day-5'!AA34</f>
        <v>1172</v>
      </c>
      <c r="F52" s="98">
        <f>'Day-5'!AB34</f>
        <v>887</v>
      </c>
      <c r="G52" s="98">
        <f>'Day-5'!AC34</f>
        <v>1043</v>
      </c>
      <c r="H52" s="98">
        <f>'Day-5'!AD34</f>
        <v>3335</v>
      </c>
      <c r="I52" s="98">
        <f>'Day-5'!AE34</f>
        <v>0</v>
      </c>
      <c r="J52" s="98">
        <f>'Day-5'!AF34</f>
        <v>6586</v>
      </c>
      <c r="K52" s="98">
        <f>'Day-5'!AG34</f>
        <v>1287</v>
      </c>
      <c r="L52" s="98">
        <f>'Day-5'!AH34</f>
        <v>5</v>
      </c>
      <c r="M52" s="98">
        <f>'Day-5'!AI34</f>
        <v>108</v>
      </c>
      <c r="N52" s="98">
        <f>'Day-5'!AJ34</f>
        <v>4</v>
      </c>
      <c r="O52" s="98">
        <f>'Day-5'!AK34</f>
        <v>2</v>
      </c>
      <c r="P52" s="98">
        <f>'Day-5'!AL34</f>
        <v>12</v>
      </c>
      <c r="Q52" s="98">
        <f>'Day-5'!AM34</f>
        <v>13625</v>
      </c>
      <c r="R52" s="98">
        <f>'Day-5'!AN34</f>
        <v>7402</v>
      </c>
      <c r="S52" s="98">
        <f>'Day-5'!AO34</f>
        <v>21027</v>
      </c>
      <c r="T52" s="98">
        <f>'Day-5'!AP34</f>
        <v>6</v>
      </c>
      <c r="U52" s="98">
        <f>'Day-5'!AQ34</f>
        <v>21027</v>
      </c>
      <c r="V52" s="60">
        <f t="shared" si="9"/>
        <v>36135</v>
      </c>
      <c r="W52" s="1" t="s">
        <v>45</v>
      </c>
      <c r="X52" s="14">
        <f t="shared" si="10"/>
        <v>21027</v>
      </c>
      <c r="Y52" s="14">
        <f t="shared" si="11"/>
        <v>36135</v>
      </c>
    </row>
    <row r="53" spans="1:25" x14ac:dyDescent="0.3">
      <c r="A53" s="50" t="s">
        <v>48</v>
      </c>
      <c r="B53" s="98">
        <f>'Day-6'!X34</f>
        <v>5671</v>
      </c>
      <c r="C53" s="98">
        <f>'Day-6'!Y34</f>
        <v>958</v>
      </c>
      <c r="D53" s="98">
        <f>'Day-6'!Z34</f>
        <v>862</v>
      </c>
      <c r="E53" s="98">
        <f>'Day-6'!AA34</f>
        <v>978</v>
      </c>
      <c r="F53" s="98">
        <f>'Day-6'!AB34</f>
        <v>1005</v>
      </c>
      <c r="G53" s="98">
        <f>'Day-6'!AC34</f>
        <v>1100</v>
      </c>
      <c r="H53" s="98">
        <f>'Day-6'!AD34</f>
        <v>3627</v>
      </c>
      <c r="I53" s="98">
        <f>'Day-6'!AE34</f>
        <v>0</v>
      </c>
      <c r="J53" s="98">
        <f>'Day-6'!AF34</f>
        <v>6535</v>
      </c>
      <c r="K53" s="98">
        <f>'Day-6'!AG34</f>
        <v>1262</v>
      </c>
      <c r="L53" s="98">
        <f>'Day-6'!AH34</f>
        <v>15</v>
      </c>
      <c r="M53" s="98">
        <f>'Day-6'!AI34</f>
        <v>150</v>
      </c>
      <c r="N53" s="98">
        <f>'Day-6'!AJ34</f>
        <v>16</v>
      </c>
      <c r="O53" s="98">
        <f>'Day-6'!AK34</f>
        <v>2</v>
      </c>
      <c r="P53" s="98">
        <f>'Day-6'!AL34</f>
        <v>14</v>
      </c>
      <c r="Q53" s="98">
        <f>'Day-6'!AM34</f>
        <v>14444</v>
      </c>
      <c r="R53" s="98">
        <f>'Day-6'!AN34</f>
        <v>7751</v>
      </c>
      <c r="S53" s="98">
        <f>'Day-6'!AO34</f>
        <v>22195</v>
      </c>
      <c r="T53" s="98">
        <f>'Day-6'!AP34</f>
        <v>18</v>
      </c>
      <c r="U53" s="98">
        <f>'Day-6'!AQ34</f>
        <v>22195</v>
      </c>
      <c r="V53" s="60">
        <f t="shared" si="9"/>
        <v>38812.5</v>
      </c>
      <c r="W53" s="1" t="s">
        <v>47</v>
      </c>
      <c r="X53" s="14">
        <f t="shared" si="10"/>
        <v>22195</v>
      </c>
      <c r="Y53" s="14">
        <f t="shared" si="11"/>
        <v>38812.5</v>
      </c>
    </row>
    <row r="54" spans="1:25" x14ac:dyDescent="0.3">
      <c r="A54" s="50" t="s">
        <v>50</v>
      </c>
      <c r="B54" s="98">
        <f>'Day-7'!X34</f>
        <v>7407</v>
      </c>
      <c r="C54" s="98">
        <f>'Day-7'!Y34</f>
        <v>932</v>
      </c>
      <c r="D54" s="98">
        <f>'Day-7'!Z34</f>
        <v>834</v>
      </c>
      <c r="E54" s="98">
        <f>'Day-7'!AA34</f>
        <v>928</v>
      </c>
      <c r="F54" s="98">
        <f>'Day-7'!AB34</f>
        <v>853</v>
      </c>
      <c r="G54" s="98">
        <f>'Day-7'!AC34</f>
        <v>842</v>
      </c>
      <c r="H54" s="98">
        <f>'Day-7'!AD34</f>
        <v>4496</v>
      </c>
      <c r="I54" s="98">
        <f>'Day-7'!AE34</f>
        <v>0</v>
      </c>
      <c r="J54" s="98">
        <f>'Day-7'!AF34</f>
        <v>8015</v>
      </c>
      <c r="K54" s="98">
        <f>'Day-7'!AG34</f>
        <v>1193</v>
      </c>
      <c r="L54" s="98">
        <f>'Day-7'!AH34</f>
        <v>55</v>
      </c>
      <c r="M54" s="98">
        <f>'Day-7'!AI34</f>
        <v>130</v>
      </c>
      <c r="N54" s="98">
        <f>'Day-7'!AJ34</f>
        <v>9</v>
      </c>
      <c r="O54" s="98">
        <f>'Day-7'!AK34</f>
        <v>0</v>
      </c>
      <c r="P54" s="98">
        <f>'Day-7'!AL34</f>
        <v>10</v>
      </c>
      <c r="Q54" s="98">
        <f>'Day-7'!AM34</f>
        <v>17556</v>
      </c>
      <c r="R54" s="98">
        <f>'Day-7'!AN34</f>
        <v>8148</v>
      </c>
      <c r="S54" s="98">
        <f>'Day-7'!AO34</f>
        <v>25704</v>
      </c>
      <c r="T54" s="98">
        <f>'Day-7'!AP34</f>
        <v>9</v>
      </c>
      <c r="U54" s="98">
        <f>'Day-7'!AQ34</f>
        <v>25704</v>
      </c>
      <c r="V54" s="60">
        <f t="shared" si="9"/>
        <v>43663.5</v>
      </c>
      <c r="W54" s="1" t="s">
        <v>49</v>
      </c>
      <c r="X54" s="14">
        <f t="shared" si="10"/>
        <v>25704</v>
      </c>
      <c r="Y54" s="14">
        <f t="shared" si="11"/>
        <v>43663.5</v>
      </c>
    </row>
    <row r="55" spans="1:25" x14ac:dyDescent="0.3">
      <c r="A55" s="95" t="s">
        <v>52</v>
      </c>
      <c r="B55" s="96">
        <f>AVERAGE(B48:B54)</f>
        <v>5734.5714285714284</v>
      </c>
      <c r="C55" s="96">
        <f>AVERAGE(C48:C54)</f>
        <v>941.28571428571433</v>
      </c>
      <c r="D55" s="96">
        <f t="shared" ref="D55:U55" si="12">AVERAGE(D48:D54)</f>
        <v>802</v>
      </c>
      <c r="E55" s="96">
        <f>AVERAGE(E48:E54)</f>
        <v>974.28571428571433</v>
      </c>
      <c r="F55" s="96">
        <f t="shared" si="12"/>
        <v>862.85714285714289</v>
      </c>
      <c r="G55" s="96">
        <f t="shared" si="12"/>
        <v>1053.8571428571429</v>
      </c>
      <c r="H55" s="96">
        <f t="shared" si="12"/>
        <v>3406.4285714285716</v>
      </c>
      <c r="I55" s="96">
        <f t="shared" si="12"/>
        <v>0</v>
      </c>
      <c r="J55" s="96">
        <f t="shared" si="12"/>
        <v>6775.2857142857147</v>
      </c>
      <c r="K55" s="96">
        <f t="shared" si="12"/>
        <v>1250.7142857142858</v>
      </c>
      <c r="L55" s="96">
        <f t="shared" si="12"/>
        <v>21.857142857142858</v>
      </c>
      <c r="M55" s="96">
        <f t="shared" si="12"/>
        <v>115</v>
      </c>
      <c r="N55" s="96">
        <f t="shared" si="12"/>
        <v>11.571428571428571</v>
      </c>
      <c r="O55" s="96">
        <f t="shared" si="12"/>
        <v>2.5714285714285716</v>
      </c>
      <c r="P55" s="96">
        <f t="shared" si="12"/>
        <v>7.8571428571428568</v>
      </c>
      <c r="Q55" s="96">
        <f t="shared" si="12"/>
        <v>13728.571428571429</v>
      </c>
      <c r="R55" s="96">
        <f t="shared" si="12"/>
        <v>6728.8571428571431</v>
      </c>
      <c r="S55" s="96">
        <f t="shared" si="12"/>
        <v>20457.428571428572</v>
      </c>
      <c r="T55" s="96">
        <f t="shared" si="12"/>
        <v>14.142857142857142</v>
      </c>
      <c r="U55" s="96">
        <f t="shared" si="12"/>
        <v>21960.142857142859</v>
      </c>
      <c r="V55" s="97">
        <f t="shared" si="9"/>
        <v>37135.857142857145</v>
      </c>
      <c r="X55" s="58">
        <f>SUMPRODUCT(B55:I55,$B$4:$I$4)</f>
        <v>31900.928571428572</v>
      </c>
      <c r="Y55" s="58">
        <f>SUMPRODUCT(J55:O55,$J$4:$O$4)</f>
        <v>5199.5714285714294</v>
      </c>
    </row>
    <row r="56" spans="1:25" x14ac:dyDescent="0.3">
      <c r="A56" s="95" t="s">
        <v>53</v>
      </c>
      <c r="B56" s="96">
        <f>B55*$B$34</f>
        <v>5333.1514285714284</v>
      </c>
      <c r="C56" s="96">
        <f>C55*$B$34</f>
        <v>875.39571428571435</v>
      </c>
      <c r="D56" s="96">
        <f>D55*$D$34</f>
        <v>842.1</v>
      </c>
      <c r="E56" s="96">
        <f t="shared" ref="E56:I56" si="13">E55*$D$34</f>
        <v>1023.0000000000001</v>
      </c>
      <c r="F56" s="96">
        <f t="shared" si="13"/>
        <v>906.00000000000011</v>
      </c>
      <c r="G56" s="96">
        <f t="shared" si="13"/>
        <v>1106.5500000000002</v>
      </c>
      <c r="H56" s="96">
        <f t="shared" si="13"/>
        <v>3576.7500000000005</v>
      </c>
      <c r="I56" s="96">
        <f t="shared" si="13"/>
        <v>0</v>
      </c>
      <c r="J56" s="96">
        <f t="shared" ref="J56:K56" si="14">J55*$B$34</f>
        <v>6301.0157142857151</v>
      </c>
      <c r="K56" s="96">
        <f t="shared" si="14"/>
        <v>1163.1642857142858</v>
      </c>
      <c r="L56" s="96">
        <f t="shared" ref="L56" si="15">L55*$D$34</f>
        <v>22.950000000000003</v>
      </c>
      <c r="M56" s="96">
        <f>M55*$A$34</f>
        <v>115</v>
      </c>
      <c r="N56" s="96">
        <f t="shared" ref="N56" si="16">N55*$A$34</f>
        <v>11.571428571428571</v>
      </c>
      <c r="O56" s="96">
        <f>O55*$B$34</f>
        <v>2.3914285714285719</v>
      </c>
      <c r="P56" s="96">
        <f t="shared" ref="P56" si="17">P55*$D$34</f>
        <v>8.25</v>
      </c>
      <c r="Q56" s="97">
        <f>B56+C56+J56+K56+N56+O56</f>
        <v>13686.69</v>
      </c>
      <c r="R56" s="97">
        <f>D56+E56+F56+G56+H56+I56+L56+M56+P56</f>
        <v>7600.6000000000013</v>
      </c>
      <c r="S56" s="97">
        <f t="shared" ref="S56" si="18">Q56+R56</f>
        <v>21287.29</v>
      </c>
      <c r="T56" s="97">
        <f>N56+O56</f>
        <v>13.962857142857143</v>
      </c>
      <c r="U56" s="97">
        <f>SUM(B56:P56)</f>
        <v>21287.290000000005</v>
      </c>
      <c r="V56" s="97">
        <f t="shared" si="9"/>
        <v>37382.254285714298</v>
      </c>
    </row>
    <row r="57" spans="1:25" x14ac:dyDescent="0.3">
      <c r="A57" s="99" t="s">
        <v>83</v>
      </c>
      <c r="B57" s="100">
        <f>AVERAGE('Day-1'!B34,'Day-2'!B34,'Day-3'!B34,'Day-4'!B34,'Day-5'!B34,'Day-6'!B34,'Day-7'!B34)</f>
        <v>2777.2857142857142</v>
      </c>
      <c r="C57" s="100">
        <f>AVERAGE('Day-1'!C34,'Day-2'!C34,'Day-3'!C34,'Day-4'!C34,'Day-5'!C34,'Day-6'!C34,'Day-7'!C34)</f>
        <v>464.42857142857144</v>
      </c>
      <c r="D57" s="100">
        <f>AVERAGE('Day-1'!D34,'Day-2'!D34,'Day-3'!D34,'Day-4'!D34,'Day-5'!D34,'Day-6'!D34,'Day-7'!D34)</f>
        <v>410.71428571428572</v>
      </c>
      <c r="E57" s="100">
        <f>AVERAGE('Day-1'!E34,'Day-2'!E34,'Day-3'!E34,'Day-4'!E34,'Day-5'!E34,'Day-6'!E34,'Day-7'!E34)</f>
        <v>497.57142857142856</v>
      </c>
      <c r="F57" s="100">
        <f>AVERAGE('Day-1'!F34,'Day-2'!F34,'Day-3'!F34,'Day-4'!F34,'Day-5'!F34,'Day-6'!F34,'Day-7'!F34)</f>
        <v>380</v>
      </c>
      <c r="G57" s="100">
        <f>AVERAGE('Day-1'!G34,'Day-2'!G34,'Day-3'!G34,'Day-4'!G34,'Day-5'!G34,'Day-6'!G34,'Day-7'!G34)</f>
        <v>447.42857142857144</v>
      </c>
      <c r="H57" s="100">
        <f>AVERAGE('Day-1'!H34,'Day-2'!H34,'Day-3'!H34,'Day-4'!H34,'Day-5'!H34,'Day-6'!H34,'Day-7'!H34)</f>
        <v>1729.5714285714287</v>
      </c>
      <c r="I57" s="100">
        <f>AVERAGE('Day-1'!I34,'Day-2'!I34,'Day-3'!I34,'Day-4'!I34,'Day-5'!I34,'Day-6'!I34,'Day-7'!I34)</f>
        <v>0</v>
      </c>
      <c r="J57" s="100">
        <f>AVERAGE('Day-1'!J34,'Day-2'!J34,'Day-3'!J34,'Day-4'!J34,'Day-5'!J34,'Day-6'!J34,'Day-7'!J34)</f>
        <v>3565.8571428571427</v>
      </c>
      <c r="K57" s="100">
        <f>AVERAGE('Day-1'!K34,'Day-2'!K34,'Day-3'!K34,'Day-4'!K34,'Day-5'!K34,'Day-6'!K34,'Day-7'!K34)</f>
        <v>679.42857142857144</v>
      </c>
      <c r="L57" s="100">
        <f>AVERAGE('Day-1'!L34,'Day-2'!L34,'Day-3'!L34,'Day-4'!L34,'Day-5'!L34,'Day-6'!L34,'Day-7'!L34)</f>
        <v>11.714285714285714</v>
      </c>
      <c r="M57" s="100">
        <f>AVERAGE('Day-1'!M34,'Day-2'!M34,'Day-3'!M34,'Day-4'!M34,'Day-5'!M34,'Day-6'!M34,'Day-7'!M34)</f>
        <v>60</v>
      </c>
      <c r="N57" s="100">
        <f>AVERAGE('Day-1'!N34,'Day-2'!N34,'Day-3'!N34,'Day-4'!N34,'Day-5'!N34,'Day-6'!N34,'Day-7'!N34)</f>
        <v>4.2857142857142856</v>
      </c>
      <c r="O57" s="100">
        <f>AVERAGE('Day-1'!O34,'Day-2'!O34,'Day-3'!O34,'Day-4'!O34,'Day-5'!O34,'Day-6'!O34,'Day-7'!O34)</f>
        <v>2.2857142857142856</v>
      </c>
      <c r="P57" s="100">
        <f>AVERAGE('Day-1'!P34,'Day-2'!P34,'Day-3'!P34,'Day-4'!P34,'Day-5'!P34,'Day-6'!P34,'Day-7'!P34)</f>
        <v>3.2857142857142856</v>
      </c>
      <c r="Q57" s="100">
        <f>AVERAGE('Day-1'!Q34,'Day-2'!Q34,'Day-3'!Q34,'Day-4'!Q34,'Day-5'!Q34,'Day-6'!Q34,'Day-7'!Q34)</f>
        <v>7493.5714285714284</v>
      </c>
      <c r="R57" s="100">
        <f>AVERAGE('Day-1'!R34,'Day-2'!R34,'Day-3'!R34,'Day-4'!R34,'Day-5'!R34,'Day-6'!R34,'Day-7'!R34)</f>
        <v>3540.2857142857142</v>
      </c>
      <c r="S57" s="100">
        <f>AVERAGE('Day-1'!S34,'Day-2'!S34,'Day-3'!S34,'Day-4'!S34,'Day-5'!S34,'Day-6'!S34,'Day-7'!S34)</f>
        <v>11033.857142857143</v>
      </c>
      <c r="T57" s="100">
        <f>AVERAGE('Day-1'!T34,'Day-2'!T34,'Day-3'!T34,'Day-4'!T34,'Day-5'!T34,'Day-6'!T34,'Day-7'!T34)</f>
        <v>6.5714285714285712</v>
      </c>
      <c r="U57" s="100">
        <f>AVERAGE('Day-1'!U34,'Day-2'!U34,'Day-3'!U34,'Day-4'!U34,'Day-5'!U34,'Day-6'!U34,'Day-7'!U34)</f>
        <v>11033.857142857143</v>
      </c>
      <c r="V57" s="100">
        <f>AVERAGE('Day-1'!V34,'Day-2'!V34,'Day-3'!V34,'Day-4'!V34,'Day-5'!V34,'Day-6'!V34,'Day-7'!V34)</f>
        <v>18364.428571428572</v>
      </c>
    </row>
    <row r="58" spans="1:25" x14ac:dyDescent="0.3">
      <c r="A58" s="99" t="s">
        <v>84</v>
      </c>
      <c r="B58" s="100">
        <f>B55-B57</f>
        <v>2957.2857142857142</v>
      </c>
      <c r="C58" s="100">
        <f t="shared" ref="C58:V58" si="19">C55-C57</f>
        <v>476.85714285714289</v>
      </c>
      <c r="D58" s="100">
        <f t="shared" si="19"/>
        <v>391.28571428571428</v>
      </c>
      <c r="E58" s="100">
        <f t="shared" si="19"/>
        <v>476.71428571428578</v>
      </c>
      <c r="F58" s="100">
        <f t="shared" si="19"/>
        <v>482.85714285714289</v>
      </c>
      <c r="G58" s="100">
        <f t="shared" si="19"/>
        <v>606.42857142857144</v>
      </c>
      <c r="H58" s="100">
        <f t="shared" si="19"/>
        <v>1676.8571428571429</v>
      </c>
      <c r="I58" s="100">
        <f t="shared" si="19"/>
        <v>0</v>
      </c>
      <c r="J58" s="100">
        <f t="shared" si="19"/>
        <v>3209.428571428572</v>
      </c>
      <c r="K58" s="100">
        <f t="shared" si="19"/>
        <v>571.28571428571433</v>
      </c>
      <c r="L58" s="100">
        <f t="shared" si="19"/>
        <v>10.142857142857144</v>
      </c>
      <c r="M58" s="100">
        <f t="shared" si="19"/>
        <v>55</v>
      </c>
      <c r="N58" s="100">
        <f t="shared" si="19"/>
        <v>7.2857142857142856</v>
      </c>
      <c r="O58" s="100">
        <f t="shared" si="19"/>
        <v>0.28571428571428603</v>
      </c>
      <c r="P58" s="100">
        <f t="shared" si="19"/>
        <v>4.5714285714285712</v>
      </c>
      <c r="Q58" s="100">
        <f t="shared" si="19"/>
        <v>6235.0000000000009</v>
      </c>
      <c r="R58" s="100">
        <f t="shared" si="19"/>
        <v>3188.5714285714289</v>
      </c>
      <c r="S58" s="100">
        <f t="shared" si="19"/>
        <v>9423.5714285714294</v>
      </c>
      <c r="T58" s="100">
        <f t="shared" si="19"/>
        <v>7.5714285714285712</v>
      </c>
      <c r="U58" s="100">
        <f t="shared" si="19"/>
        <v>10926.285714285716</v>
      </c>
      <c r="V58" s="100">
        <f t="shared" si="19"/>
        <v>18771.428571428572</v>
      </c>
    </row>
    <row r="59" spans="1:25" x14ac:dyDescent="0.3">
      <c r="A59" s="99" t="s">
        <v>85</v>
      </c>
      <c r="B59" s="100">
        <f>B57*$B$34</f>
        <v>2582.8757142857144</v>
      </c>
      <c r="C59" s="100">
        <f>C57*$B$34</f>
        <v>431.91857142857145</v>
      </c>
      <c r="D59" s="100">
        <f>D57*$D$34</f>
        <v>431.25</v>
      </c>
      <c r="E59" s="100">
        <f t="shared" ref="E59:I60" si="20">E57*$D$34</f>
        <v>522.45000000000005</v>
      </c>
      <c r="F59" s="100">
        <f t="shared" si="20"/>
        <v>399</v>
      </c>
      <c r="G59" s="100">
        <f t="shared" si="20"/>
        <v>469.8</v>
      </c>
      <c r="H59" s="100">
        <f t="shared" si="20"/>
        <v>1816.0500000000002</v>
      </c>
      <c r="I59" s="100">
        <f t="shared" si="20"/>
        <v>0</v>
      </c>
      <c r="J59" s="100">
        <f>J57*$B$34</f>
        <v>3316.247142857143</v>
      </c>
      <c r="K59" s="100">
        <f>K57*$B$34</f>
        <v>631.8685714285715</v>
      </c>
      <c r="L59" s="100">
        <f t="shared" ref="L59:L60" si="21">L57*$D$34</f>
        <v>12.299999999999999</v>
      </c>
      <c r="M59" s="100">
        <f>M57*$A$34</f>
        <v>60</v>
      </c>
      <c r="N59" s="100">
        <f>N57*$A$34</f>
        <v>4.2857142857142856</v>
      </c>
      <c r="O59" s="100">
        <f>O57*$B$34</f>
        <v>2.1257142857142859</v>
      </c>
      <c r="P59" s="100">
        <f>P57*$D$34</f>
        <v>3.45</v>
      </c>
      <c r="Q59" s="101">
        <f>B59+C59+J59+K59+N59+O59</f>
        <v>6969.3214285714284</v>
      </c>
      <c r="R59" s="101">
        <f>D59+E59+F59+G59+H59+I59+L59+M59+P59</f>
        <v>3714.3</v>
      </c>
      <c r="S59" s="101">
        <f t="shared" ref="S59" si="22">Q59+R59</f>
        <v>10683.621428571429</v>
      </c>
      <c r="T59" s="101">
        <f>N59+O59</f>
        <v>6.411428571428571</v>
      </c>
      <c r="U59" s="101">
        <f>SUM(B59:P59)</f>
        <v>10683.621428571429</v>
      </c>
      <c r="V59" s="101">
        <f t="shared" ref="V59" si="23">SUMPRODUCT(B59:P59,$B$4:$P$4)</f>
        <v>18472.54285714286</v>
      </c>
    </row>
    <row r="60" spans="1:25" x14ac:dyDescent="0.3">
      <c r="A60" s="99" t="s">
        <v>86</v>
      </c>
      <c r="B60" s="100">
        <f>B58*$B$34</f>
        <v>2750.2757142857145</v>
      </c>
      <c r="C60" s="100">
        <f>C58*$B$34</f>
        <v>443.47714285714289</v>
      </c>
      <c r="D60" s="100">
        <f>D58*$D$34</f>
        <v>410.85</v>
      </c>
      <c r="E60" s="100">
        <f t="shared" si="20"/>
        <v>500.55000000000007</v>
      </c>
      <c r="F60" s="100">
        <f t="shared" si="20"/>
        <v>507.00000000000006</v>
      </c>
      <c r="G60" s="100">
        <f t="shared" si="20"/>
        <v>636.75</v>
      </c>
      <c r="H60" s="100">
        <f t="shared" si="20"/>
        <v>1760.7</v>
      </c>
      <c r="I60" s="100">
        <f t="shared" si="20"/>
        <v>0</v>
      </c>
      <c r="J60" s="100">
        <f>J58*$B$34</f>
        <v>2984.7685714285722</v>
      </c>
      <c r="K60" s="100">
        <f>K58*$B$34</f>
        <v>531.29571428571433</v>
      </c>
      <c r="L60" s="100">
        <f t="shared" si="21"/>
        <v>10.650000000000002</v>
      </c>
      <c r="M60" s="100">
        <f>M58*$A$34</f>
        <v>55</v>
      </c>
      <c r="N60" s="100">
        <f>N58*$A$34</f>
        <v>7.2857142857142856</v>
      </c>
      <c r="O60" s="100">
        <f>O58*$B$34</f>
        <v>0.26571428571428601</v>
      </c>
      <c r="P60" s="100">
        <f>P58*$D$34</f>
        <v>4.8</v>
      </c>
      <c r="Q60" s="101">
        <f>B60+C60+J60+K60+N60+O60</f>
        <v>6717.368571428573</v>
      </c>
      <c r="R60" s="101">
        <f>D60+E60+F60+G60+H60+I60+L60+M60+P60</f>
        <v>3886.3000000000006</v>
      </c>
      <c r="S60" s="101">
        <f t="shared" ref="S60" si="24">Q60+R60</f>
        <v>10603.668571428574</v>
      </c>
      <c r="T60" s="101">
        <f>N60+O60</f>
        <v>7.5514285714285716</v>
      </c>
      <c r="U60" s="101">
        <f>SUM(B60:P60)</f>
        <v>10603.66857142857</v>
      </c>
      <c r="V60" s="101">
        <f t="shared" ref="V60" si="25">SUMPRODUCT(B60:P60,$B$4:$P$4)</f>
        <v>18909.711428571431</v>
      </c>
    </row>
  </sheetData>
  <mergeCells count="12">
    <mergeCell ref="A1:V1"/>
    <mergeCell ref="A2:V2"/>
    <mergeCell ref="A3:V3"/>
    <mergeCell ref="A5:A6"/>
    <mergeCell ref="B5:M5"/>
    <mergeCell ref="N5:O5"/>
    <mergeCell ref="A46:A47"/>
    <mergeCell ref="B46:M46"/>
    <mergeCell ref="N46:O46"/>
    <mergeCell ref="A43:V43"/>
    <mergeCell ref="A44:V44"/>
    <mergeCell ref="A45:V45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M36"/>
  <sheetViews>
    <sheetView topLeftCell="A25" zoomScaleNormal="100" workbookViewId="0">
      <selection activeCell="A34" sqref="A34:M36"/>
    </sheetView>
  </sheetViews>
  <sheetFormatPr defaultColWidth="9.109375" defaultRowHeight="13.8" x14ac:dyDescent="0.3"/>
  <cols>
    <col min="1" max="1" width="22.33203125" style="25" bestFit="1" customWidth="1"/>
    <col min="2" max="2" width="14.6640625" style="25" customWidth="1"/>
    <col min="3" max="16384" width="9.109375" style="1"/>
  </cols>
  <sheetData>
    <row r="1" spans="1:9" ht="12.75" customHeight="1" x14ac:dyDescent="0.3">
      <c r="A1" s="180" t="s">
        <v>87</v>
      </c>
      <c r="B1" s="180"/>
    </row>
    <row r="2" spans="1:9" ht="29.25" customHeight="1" x14ac:dyDescent="0.3">
      <c r="A2" s="124" t="s">
        <v>88</v>
      </c>
      <c r="B2" s="138" t="s">
        <v>239</v>
      </c>
    </row>
    <row r="3" spans="1:9" x14ac:dyDescent="0.3">
      <c r="A3" s="18" t="s">
        <v>71</v>
      </c>
      <c r="B3" s="12">
        <f>ADT!B55</f>
        <v>5734.5714285714284</v>
      </c>
    </row>
    <row r="4" spans="1:9" x14ac:dyDescent="0.3">
      <c r="A4" s="18" t="s">
        <v>79</v>
      </c>
      <c r="B4" s="12">
        <f>ADT!C55</f>
        <v>941.28571428571433</v>
      </c>
    </row>
    <row r="5" spans="1:9" x14ac:dyDescent="0.3">
      <c r="A5" s="18" t="s">
        <v>65</v>
      </c>
      <c r="B5" s="12">
        <f>ADT!D55</f>
        <v>802</v>
      </c>
    </row>
    <row r="6" spans="1:9" x14ac:dyDescent="0.3">
      <c r="A6" s="18" t="s">
        <v>66</v>
      </c>
      <c r="B6" s="12">
        <f>ADT!E55</f>
        <v>974.28571428571433</v>
      </c>
    </row>
    <row r="7" spans="1:9" x14ac:dyDescent="0.3">
      <c r="A7" s="18" t="s">
        <v>72</v>
      </c>
      <c r="B7" s="12">
        <f>ADT!F55</f>
        <v>862.85714285714289</v>
      </c>
    </row>
    <row r="8" spans="1:9" ht="12.75" customHeight="1" x14ac:dyDescent="0.3">
      <c r="A8" s="18" t="s">
        <v>73</v>
      </c>
      <c r="B8" s="12">
        <f>ADT!G55</f>
        <v>1053.8571428571429</v>
      </c>
    </row>
    <row r="9" spans="1:9" x14ac:dyDescent="0.3">
      <c r="A9" s="18" t="s">
        <v>74</v>
      </c>
      <c r="B9" s="12">
        <f>ADT!H55</f>
        <v>3406.4285714285716</v>
      </c>
    </row>
    <row r="10" spans="1:9" x14ac:dyDescent="0.3">
      <c r="A10" s="18" t="s">
        <v>82</v>
      </c>
      <c r="B10" s="12">
        <f>ADT!I55</f>
        <v>0</v>
      </c>
    </row>
    <row r="11" spans="1:9" x14ac:dyDescent="0.3">
      <c r="A11" s="18" t="s">
        <v>67</v>
      </c>
      <c r="B11" s="12">
        <f>ADT!J55</f>
        <v>6775.2857142857147</v>
      </c>
    </row>
    <row r="12" spans="1:9" x14ac:dyDescent="0.3">
      <c r="A12" s="18" t="s">
        <v>68</v>
      </c>
      <c r="B12" s="12">
        <f>ADT!K55</f>
        <v>1250.7142857142858</v>
      </c>
      <c r="I12" s="25"/>
    </row>
    <row r="13" spans="1:9" x14ac:dyDescent="0.3">
      <c r="A13" s="18" t="s">
        <v>69</v>
      </c>
      <c r="B13" s="12">
        <f>ADT!L55</f>
        <v>21.857142857142858</v>
      </c>
    </row>
    <row r="14" spans="1:9" x14ac:dyDescent="0.3">
      <c r="A14" s="18" t="s">
        <v>70</v>
      </c>
      <c r="B14" s="12">
        <f>ADT!M55</f>
        <v>115</v>
      </c>
    </row>
    <row r="15" spans="1:9" x14ac:dyDescent="0.3">
      <c r="A15" s="18" t="s">
        <v>64</v>
      </c>
      <c r="B15" s="12">
        <f>ADT!N55</f>
        <v>11.571428571428571</v>
      </c>
    </row>
    <row r="16" spans="1:9" x14ac:dyDescent="0.3">
      <c r="A16" s="18" t="s">
        <v>75</v>
      </c>
      <c r="B16" s="12">
        <f>ADT!O55</f>
        <v>2.5714285714285716</v>
      </c>
    </row>
    <row r="17" spans="1:5" x14ac:dyDescent="0.3">
      <c r="A17" s="18" t="s">
        <v>76</v>
      </c>
      <c r="B17" s="12">
        <f>ADT!P55</f>
        <v>7.8571428571428568</v>
      </c>
    </row>
    <row r="18" spans="1:5" x14ac:dyDescent="0.3">
      <c r="A18" s="19" t="s">
        <v>77</v>
      </c>
      <c r="B18" s="20">
        <f>B3+B5+B6+B7+B8+B9+B10</f>
        <v>12834</v>
      </c>
    </row>
    <row r="19" spans="1:5" x14ac:dyDescent="0.3">
      <c r="A19" s="19" t="s">
        <v>78</v>
      </c>
      <c r="B19" s="20">
        <f>ADT!X55</f>
        <v>31900.928571428572</v>
      </c>
    </row>
    <row r="20" spans="1:5" x14ac:dyDescent="0.3">
      <c r="A20" s="19" t="s">
        <v>89</v>
      </c>
      <c r="B20" s="20">
        <f>B11+B12+B13+B14+B15+B16+B17</f>
        <v>8184.8571428571431</v>
      </c>
    </row>
    <row r="21" spans="1:5" x14ac:dyDescent="0.3">
      <c r="A21" s="19" t="s">
        <v>90</v>
      </c>
      <c r="B21" s="20">
        <f>ADT!Y55</f>
        <v>5199.5714285714294</v>
      </c>
    </row>
    <row r="22" spans="1:5" x14ac:dyDescent="0.3">
      <c r="A22" s="19" t="s">
        <v>21</v>
      </c>
      <c r="B22" s="20">
        <f>+B18+B20</f>
        <v>21018.857142857145</v>
      </c>
    </row>
    <row r="23" spans="1:5" x14ac:dyDescent="0.3">
      <c r="A23" s="19" t="s">
        <v>22</v>
      </c>
      <c r="B23" s="20">
        <f>ADT!V55</f>
        <v>37135.857142857145</v>
      </c>
    </row>
    <row r="24" spans="1:5" ht="37.5" customHeight="1" x14ac:dyDescent="0.3">
      <c r="A24" s="179" t="s">
        <v>183</v>
      </c>
      <c r="B24" s="179"/>
    </row>
    <row r="27" spans="1:5" x14ac:dyDescent="0.3">
      <c r="A27" s="175" t="s">
        <v>94</v>
      </c>
      <c r="B27" s="175"/>
      <c r="C27" s="175"/>
      <c r="D27" s="175"/>
    </row>
    <row r="28" spans="1:5" ht="41.4" x14ac:dyDescent="0.3">
      <c r="A28" s="136" t="s">
        <v>95</v>
      </c>
      <c r="B28" s="136" t="s">
        <v>96</v>
      </c>
      <c r="C28" s="136" t="s">
        <v>97</v>
      </c>
      <c r="D28" s="136" t="s">
        <v>98</v>
      </c>
      <c r="E28" s="136" t="s">
        <v>99</v>
      </c>
    </row>
    <row r="29" spans="1:5" ht="45.75" customHeight="1" x14ac:dyDescent="0.3">
      <c r="A29" s="7">
        <v>1</v>
      </c>
      <c r="B29" s="7" t="str">
        <f>B2</f>
        <v>Nathavalasa Toll Plaza</v>
      </c>
      <c r="C29" s="21">
        <f>ADT!Y11</f>
        <v>2057.7142857142853</v>
      </c>
      <c r="D29" s="22">
        <f>ADT!AA11</f>
        <v>5.5410442737285091E-2</v>
      </c>
      <c r="E29" s="7" t="str">
        <f>ADT!Z11</f>
        <v>10:00-11:00</v>
      </c>
    </row>
    <row r="34" spans="1:13" x14ac:dyDescent="0.3">
      <c r="A34" s="176" t="s">
        <v>100</v>
      </c>
      <c r="B34" s="177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8"/>
    </row>
    <row r="35" spans="1:13" ht="41.4" x14ac:dyDescent="0.3">
      <c r="A35" s="136" t="s">
        <v>95</v>
      </c>
      <c r="B35" s="136" t="s">
        <v>96</v>
      </c>
      <c r="C35" s="136" t="s">
        <v>101</v>
      </c>
      <c r="D35" s="136" t="s">
        <v>102</v>
      </c>
      <c r="E35" s="136" t="s">
        <v>103</v>
      </c>
      <c r="F35" s="136" t="s">
        <v>104</v>
      </c>
      <c r="G35" s="136" t="s">
        <v>65</v>
      </c>
      <c r="H35" s="137" t="s">
        <v>66</v>
      </c>
      <c r="I35" s="136" t="s">
        <v>105</v>
      </c>
      <c r="J35" s="136" t="s">
        <v>106</v>
      </c>
      <c r="K35" s="136" t="str">
        <f>Charts!$A$68</f>
        <v>MAV</v>
      </c>
      <c r="L35" s="136" t="s">
        <v>108</v>
      </c>
      <c r="M35" s="136" t="s">
        <v>109</v>
      </c>
    </row>
    <row r="36" spans="1:13" ht="44.25" customHeight="1" x14ac:dyDescent="0.3">
      <c r="A36" s="23">
        <v>1</v>
      </c>
      <c r="B36" s="7" t="str">
        <f>B29</f>
        <v>Nathavalasa Toll Plaza</v>
      </c>
      <c r="C36" s="24">
        <f>Charts!C62</f>
        <v>0.26122889904077673</v>
      </c>
      <c r="D36" s="24">
        <f>Charts!C63</f>
        <v>4.2878710970546512E-2</v>
      </c>
      <c r="E36" s="24">
        <f>Charts!C69</f>
        <v>0.30863691382609038</v>
      </c>
      <c r="F36" s="24">
        <f>Charts!C70</f>
        <v>5.6974216807882033E-2</v>
      </c>
      <c r="G36" s="24">
        <f>Charts!C64</f>
        <v>3.6533781057618474E-2</v>
      </c>
      <c r="H36" s="24">
        <f>Charts!C65</f>
        <v>4.4381971288378688E-2</v>
      </c>
      <c r="I36" s="24">
        <f>Charts!C66</f>
        <v>3.9306027358036261E-2</v>
      </c>
      <c r="J36" s="24">
        <f>Charts!C67</f>
        <v>4.8006715864277065E-2</v>
      </c>
      <c r="K36" s="24">
        <f>Charts!$C$68</f>
        <v>0.15517420899873752</v>
      </c>
      <c r="L36" s="24">
        <f>Charts!C71+Charts!C72</f>
        <v>6.2343003657282679E-3</v>
      </c>
      <c r="M36" s="24">
        <f>Charts!C73</f>
        <v>6.4425442192807779E-4</v>
      </c>
    </row>
  </sheetData>
  <mergeCells count="4">
    <mergeCell ref="A27:D27"/>
    <mergeCell ref="A34:M34"/>
    <mergeCell ref="A24:B24"/>
    <mergeCell ref="A1:B1"/>
  </mergeCells>
  <pageMargins left="0.7" right="0.7" top="0.75" bottom="0.75" header="0.3" footer="0.3"/>
  <pageSetup orientation="portrait" horizontalDpi="4294967292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3:J74"/>
  <sheetViews>
    <sheetView topLeftCell="A25" zoomScale="85" zoomScaleNormal="85" workbookViewId="0">
      <selection activeCell="G23" sqref="G23"/>
    </sheetView>
  </sheetViews>
  <sheetFormatPr defaultColWidth="9.109375" defaultRowHeight="13.8" x14ac:dyDescent="0.3"/>
  <cols>
    <col min="1" max="1" width="13.5546875" style="1" bestFit="1" customWidth="1"/>
    <col min="2" max="2" width="11.44140625" style="1" customWidth="1"/>
    <col min="3" max="3" width="12.109375" style="1" customWidth="1"/>
    <col min="4" max="4" width="10" style="1" bestFit="1" customWidth="1"/>
    <col min="5" max="5" width="8.33203125" style="1" bestFit="1" customWidth="1"/>
    <col min="6" max="16384" width="9.109375" style="1"/>
  </cols>
  <sheetData>
    <row r="3" spans="1:10" x14ac:dyDescent="0.3">
      <c r="A3" s="42" t="s">
        <v>3</v>
      </c>
      <c r="C3" s="14">
        <f>ADT!B55</f>
        <v>5734.5714285714284</v>
      </c>
      <c r="E3" s="15">
        <f t="shared" ref="E3:E16" si="0">C3/$C$17</f>
        <v>0.26122889904077679</v>
      </c>
    </row>
    <row r="4" spans="1:10" x14ac:dyDescent="0.3">
      <c r="A4" s="42" t="s">
        <v>4</v>
      </c>
      <c r="C4" s="14">
        <f>ADT!C55</f>
        <v>941.28571428571433</v>
      </c>
      <c r="E4" s="15">
        <f t="shared" si="0"/>
        <v>4.2878710970546519E-2</v>
      </c>
    </row>
    <row r="5" spans="1:10" x14ac:dyDescent="0.3">
      <c r="A5" s="42" t="s">
        <v>5</v>
      </c>
      <c r="C5" s="14">
        <f>ADT!D55</f>
        <v>802</v>
      </c>
      <c r="E5" s="15">
        <f t="shared" si="0"/>
        <v>3.6533781057618481E-2</v>
      </c>
    </row>
    <row r="6" spans="1:10" x14ac:dyDescent="0.3">
      <c r="A6" s="42" t="s">
        <v>6</v>
      </c>
      <c r="C6" s="14">
        <f>ADT!E55</f>
        <v>974.28571428571433</v>
      </c>
      <c r="E6" s="15">
        <f t="shared" si="0"/>
        <v>4.4381971288378702E-2</v>
      </c>
    </row>
    <row r="7" spans="1:10" x14ac:dyDescent="0.3">
      <c r="A7" s="42" t="s">
        <v>7</v>
      </c>
      <c r="C7" s="14">
        <f>ADT!F55</f>
        <v>862.85714285714289</v>
      </c>
      <c r="E7" s="15">
        <f t="shared" si="0"/>
        <v>3.9306027358036268E-2</v>
      </c>
    </row>
    <row r="8" spans="1:10" x14ac:dyDescent="0.3">
      <c r="A8" s="42" t="s">
        <v>8</v>
      </c>
      <c r="C8" s="14">
        <f>ADT!G55</f>
        <v>1053.8571428571429</v>
      </c>
      <c r="E8" s="15">
        <f t="shared" si="0"/>
        <v>4.8006715864277079E-2</v>
      </c>
    </row>
    <row r="9" spans="1:10" x14ac:dyDescent="0.3">
      <c r="A9" s="42" t="s">
        <v>9</v>
      </c>
      <c r="C9" s="14">
        <f>ADT!H55</f>
        <v>3406.4285714285716</v>
      </c>
      <c r="E9" s="15">
        <f t="shared" si="0"/>
        <v>0.15517420899873755</v>
      </c>
    </row>
    <row r="10" spans="1:10" x14ac:dyDescent="0.3">
      <c r="A10" s="42" t="s">
        <v>10</v>
      </c>
      <c r="C10" s="14">
        <f>ADT!I55</f>
        <v>0</v>
      </c>
      <c r="E10" s="15">
        <f t="shared" si="0"/>
        <v>0</v>
      </c>
    </row>
    <row r="11" spans="1:10" x14ac:dyDescent="0.3">
      <c r="A11" s="42" t="s">
        <v>11</v>
      </c>
      <c r="C11" s="14">
        <f>ADT!J55</f>
        <v>6775.2857142857147</v>
      </c>
      <c r="E11" s="15">
        <f t="shared" si="0"/>
        <v>0.30863691382609043</v>
      </c>
    </row>
    <row r="12" spans="1:10" x14ac:dyDescent="0.3">
      <c r="A12" s="42" t="s">
        <v>12</v>
      </c>
      <c r="C12" s="14">
        <f>ADT!K55</f>
        <v>1250.7142857142858</v>
      </c>
      <c r="E12" s="15">
        <f t="shared" si="0"/>
        <v>5.697421680788204E-2</v>
      </c>
      <c r="J12" s="25"/>
    </row>
    <row r="13" spans="1:10" x14ac:dyDescent="0.3">
      <c r="A13" s="42" t="s">
        <v>13</v>
      </c>
      <c r="C13" s="14">
        <f>ADT!L55</f>
        <v>21.857142857142858</v>
      </c>
      <c r="E13" s="15">
        <f t="shared" si="0"/>
        <v>9.9566592479793849E-4</v>
      </c>
    </row>
    <row r="14" spans="1:10" x14ac:dyDescent="0.3">
      <c r="A14" s="42" t="s">
        <v>14</v>
      </c>
      <c r="C14" s="14">
        <f>ADT!M55</f>
        <v>115</v>
      </c>
      <c r="E14" s="15">
        <f t="shared" si="0"/>
        <v>5.2386344409303303E-3</v>
      </c>
    </row>
    <row r="15" spans="1:10" x14ac:dyDescent="0.3">
      <c r="A15" s="42" t="s">
        <v>15</v>
      </c>
      <c r="C15" s="14">
        <f>ADT!N55</f>
        <v>11.571428571428571</v>
      </c>
      <c r="E15" s="15">
        <f t="shared" si="0"/>
        <v>5.27117254304791E-4</v>
      </c>
    </row>
    <row r="16" spans="1:10" x14ac:dyDescent="0.3">
      <c r="A16" s="42" t="s">
        <v>16</v>
      </c>
      <c r="C16" s="14">
        <f>ADT!O55</f>
        <v>2.5714285714285716</v>
      </c>
      <c r="E16" s="15">
        <f t="shared" si="0"/>
        <v>1.171371676232869E-4</v>
      </c>
    </row>
    <row r="17" spans="1:7" x14ac:dyDescent="0.3">
      <c r="C17" s="14">
        <f>SUM(C3:C16)</f>
        <v>21952.28571428571</v>
      </c>
      <c r="E17" s="15">
        <f>SUM(E3:E16)</f>
        <v>1.0000000000000002</v>
      </c>
    </row>
    <row r="20" spans="1:7" ht="38.25" customHeight="1" x14ac:dyDescent="0.3">
      <c r="A20" s="122" t="s">
        <v>35</v>
      </c>
      <c r="B20" s="123" t="s">
        <v>36</v>
      </c>
      <c r="C20" s="123" t="s">
        <v>54</v>
      </c>
    </row>
    <row r="21" spans="1:7" x14ac:dyDescent="0.3">
      <c r="A21" s="23" t="s">
        <v>55</v>
      </c>
      <c r="B21" s="23">
        <f>'Day-1'!AQ34</f>
        <v>23270</v>
      </c>
      <c r="C21" s="12">
        <f>'Day-1'!AR34</f>
        <v>36053.5</v>
      </c>
    </row>
    <row r="22" spans="1:7" x14ac:dyDescent="0.3">
      <c r="A22" s="23" t="s">
        <v>56</v>
      </c>
      <c r="B22" s="23">
        <f>'Day-2'!AQ34</f>
        <v>19672</v>
      </c>
      <c r="C22" s="12">
        <f>'Day-2'!AR34</f>
        <v>33855</v>
      </c>
    </row>
    <row r="23" spans="1:7" x14ac:dyDescent="0.3">
      <c r="A23" s="23" t="s">
        <v>57</v>
      </c>
      <c r="B23" s="23">
        <f>'Day-3'!AQ34</f>
        <v>20902</v>
      </c>
      <c r="C23" s="12">
        <f>'Day-3'!AR34</f>
        <v>35868.5</v>
      </c>
    </row>
    <row r="24" spans="1:7" x14ac:dyDescent="0.3">
      <c r="A24" s="23" t="s">
        <v>58</v>
      </c>
      <c r="B24" s="23">
        <f>'Day-4'!AQ34</f>
        <v>20951</v>
      </c>
      <c r="C24" s="12">
        <f>'Day-4'!AR34</f>
        <v>35563</v>
      </c>
    </row>
    <row r="25" spans="1:7" x14ac:dyDescent="0.3">
      <c r="A25" s="23" t="s">
        <v>59</v>
      </c>
      <c r="B25" s="23">
        <f>'Day-5'!AQ34</f>
        <v>21027</v>
      </c>
      <c r="C25" s="12">
        <f>'Day-5'!AR34</f>
        <v>36135</v>
      </c>
    </row>
    <row r="26" spans="1:7" x14ac:dyDescent="0.3">
      <c r="A26" s="23" t="s">
        <v>60</v>
      </c>
      <c r="B26" s="23">
        <f>'Day-6'!AQ34</f>
        <v>22195</v>
      </c>
      <c r="C26" s="12">
        <f>'Day-6'!AR34</f>
        <v>38812.5</v>
      </c>
    </row>
    <row r="27" spans="1:7" x14ac:dyDescent="0.3">
      <c r="A27" s="23" t="s">
        <v>61</v>
      </c>
      <c r="B27" s="23">
        <f>'Day-7'!AQ34</f>
        <v>25704</v>
      </c>
      <c r="C27" s="12">
        <f>'Day-7'!AR34</f>
        <v>43663.5</v>
      </c>
    </row>
    <row r="30" spans="1:7" ht="63.75" customHeight="1" x14ac:dyDescent="0.3">
      <c r="A30" s="121" t="s">
        <v>62</v>
      </c>
      <c r="B30" s="121" t="s">
        <v>17</v>
      </c>
      <c r="C30" s="121" t="s">
        <v>18</v>
      </c>
      <c r="D30" s="121" t="s">
        <v>19</v>
      </c>
      <c r="E30" s="121" t="s">
        <v>20</v>
      </c>
      <c r="F30" s="121" t="s">
        <v>21</v>
      </c>
      <c r="G30" s="121" t="s">
        <v>22</v>
      </c>
    </row>
    <row r="31" spans="1:7" x14ac:dyDescent="0.3">
      <c r="A31" s="62" t="str">
        <f>'Day-7'!A10</f>
        <v>12:00-13:00</v>
      </c>
      <c r="B31" s="16">
        <f>ADT!Q7</f>
        <v>782.42857142857133</v>
      </c>
      <c r="C31" s="16">
        <f>ADT!R7</f>
        <v>292.71428571428572</v>
      </c>
      <c r="D31" s="16">
        <f>ADT!S7</f>
        <v>1075.1428571428571</v>
      </c>
      <c r="E31" s="16">
        <f>ADT!T7</f>
        <v>0.7142857142857143</v>
      </c>
      <c r="F31" s="16">
        <f>ADT!U7</f>
        <v>1075.1428571428573</v>
      </c>
      <c r="G31" s="16">
        <f>ADT!V7</f>
        <v>1623.714285714286</v>
      </c>
    </row>
    <row r="32" spans="1:7" x14ac:dyDescent="0.3">
      <c r="A32" s="62" t="str">
        <f>'Day-7'!A11</f>
        <v>13:00-14:00</v>
      </c>
      <c r="B32" s="16">
        <f>ADT!Q8</f>
        <v>711.28571428571422</v>
      </c>
      <c r="C32" s="16">
        <f>ADT!R8</f>
        <v>276.99999999999994</v>
      </c>
      <c r="D32" s="16">
        <f>ADT!S8</f>
        <v>988.28571428571422</v>
      </c>
      <c r="E32" s="16">
        <f>ADT!T8</f>
        <v>1.5714285714285714</v>
      </c>
      <c r="F32" s="16">
        <f>ADT!U8</f>
        <v>988.28571428571422</v>
      </c>
      <c r="G32" s="16">
        <f>ADT!V8</f>
        <v>1517.5</v>
      </c>
    </row>
    <row r="33" spans="1:7" x14ac:dyDescent="0.3">
      <c r="A33" s="62" t="str">
        <f>'Day-7'!A12</f>
        <v>14:00-15:00</v>
      </c>
      <c r="B33" s="16">
        <f>ADT!Q9</f>
        <v>754.57142857142867</v>
      </c>
      <c r="C33" s="16">
        <f>ADT!R9</f>
        <v>284</v>
      </c>
      <c r="D33" s="16">
        <f>ADT!S9</f>
        <v>1038.5714285714287</v>
      </c>
      <c r="E33" s="16">
        <f>ADT!T9</f>
        <v>1.2857142857142856</v>
      </c>
      <c r="F33" s="16">
        <f>ADT!U9</f>
        <v>1038.5714285714282</v>
      </c>
      <c r="G33" s="16">
        <f>ADT!V9</f>
        <v>1563.3571428571427</v>
      </c>
    </row>
    <row r="34" spans="1:7" x14ac:dyDescent="0.3">
      <c r="A34" s="62" t="str">
        <f>'Day-7'!A13</f>
        <v>15:00-16:00</v>
      </c>
      <c r="B34" s="16">
        <f>ADT!Q10</f>
        <v>904.57142857142867</v>
      </c>
      <c r="C34" s="16">
        <f>ADT!R10</f>
        <v>319.42857142857144</v>
      </c>
      <c r="D34" s="16">
        <f>ADT!S10</f>
        <v>1224</v>
      </c>
      <c r="E34" s="16">
        <f>ADT!T10</f>
        <v>0.71428571428571419</v>
      </c>
      <c r="F34" s="16">
        <f>ADT!U10</f>
        <v>1223.9999999999995</v>
      </c>
      <c r="G34" s="16">
        <f>ADT!V10</f>
        <v>1843.1428571428569</v>
      </c>
    </row>
    <row r="35" spans="1:7" x14ac:dyDescent="0.3">
      <c r="A35" s="62" t="str">
        <f>'Day-7'!A14</f>
        <v>16:00-17:00</v>
      </c>
      <c r="B35" s="16">
        <f>ADT!Q11</f>
        <v>1003.4285714285713</v>
      </c>
      <c r="C35" s="16">
        <f>ADT!R11</f>
        <v>308.71428571428567</v>
      </c>
      <c r="D35" s="16">
        <f>ADT!S11</f>
        <v>1312.1428571428569</v>
      </c>
      <c r="E35" s="16">
        <f>ADT!T11</f>
        <v>0.5714285714285714</v>
      </c>
      <c r="F35" s="16">
        <f>ADT!U11</f>
        <v>1312.1428571428573</v>
      </c>
      <c r="G35" s="16">
        <f>ADT!V11</f>
        <v>1866.4285714285716</v>
      </c>
    </row>
    <row r="36" spans="1:7" x14ac:dyDescent="0.3">
      <c r="A36" s="62" t="str">
        <f>'Day-7'!A15</f>
        <v>17:00-18:00</v>
      </c>
      <c r="B36" s="16">
        <f>ADT!Q12</f>
        <v>1029.8571428571427</v>
      </c>
      <c r="C36" s="16">
        <f>ADT!R12</f>
        <v>329.71428571428572</v>
      </c>
      <c r="D36" s="16">
        <f>ADT!S12</f>
        <v>1359.5714285714284</v>
      </c>
      <c r="E36" s="16">
        <f>ADT!T12</f>
        <v>0.2857142857142857</v>
      </c>
      <c r="F36" s="16">
        <f>ADT!U12</f>
        <v>1359.5714285714284</v>
      </c>
      <c r="G36" s="16">
        <f>ADT!V12</f>
        <v>1972.8571428571431</v>
      </c>
    </row>
    <row r="37" spans="1:7" x14ac:dyDescent="0.3">
      <c r="A37" s="62" t="str">
        <f>'Day-7'!A16</f>
        <v>18:00-19:00</v>
      </c>
      <c r="B37" s="16">
        <f>ADT!Q13</f>
        <v>967.57142857142867</v>
      </c>
      <c r="C37" s="16">
        <f>ADT!R13</f>
        <v>335.57142857142861</v>
      </c>
      <c r="D37" s="16">
        <f>ADT!S13</f>
        <v>1303.1428571428573</v>
      </c>
      <c r="E37" s="16">
        <f>ADT!T13</f>
        <v>0.5714285714285714</v>
      </c>
      <c r="F37" s="16">
        <f>ADT!U13</f>
        <v>1303.1428571428571</v>
      </c>
      <c r="G37" s="16">
        <f>ADT!V13</f>
        <v>1922.9285714285713</v>
      </c>
    </row>
    <row r="38" spans="1:7" x14ac:dyDescent="0.3">
      <c r="A38" s="62" t="str">
        <f>'Day-7'!A17</f>
        <v>19:00-20:00</v>
      </c>
      <c r="B38" s="16">
        <f>ADT!Q14</f>
        <v>791.14285714285711</v>
      </c>
      <c r="C38" s="16">
        <f>ADT!R14</f>
        <v>321.5714285714285</v>
      </c>
      <c r="D38" s="16">
        <f>ADT!S14</f>
        <v>1112.7142857142856</v>
      </c>
      <c r="E38" s="16">
        <f>ADT!T14</f>
        <v>0</v>
      </c>
      <c r="F38" s="16">
        <f>ADT!U14</f>
        <v>1112.7142857142856</v>
      </c>
      <c r="G38" s="16">
        <f>ADT!V14</f>
        <v>1717.0714285714284</v>
      </c>
    </row>
    <row r="39" spans="1:7" x14ac:dyDescent="0.3">
      <c r="A39" s="62" t="str">
        <f>'Day-7'!A18</f>
        <v>20:00-21:00</v>
      </c>
      <c r="B39" s="16">
        <f>ADT!Q15</f>
        <v>609.42857142857144</v>
      </c>
      <c r="C39" s="16">
        <f>ADT!R15</f>
        <v>321.42857142857133</v>
      </c>
      <c r="D39" s="16">
        <f>ADT!S15</f>
        <v>930.85714285714278</v>
      </c>
      <c r="E39" s="16">
        <f>ADT!T15</f>
        <v>0</v>
      </c>
      <c r="F39" s="16">
        <f>ADT!U15</f>
        <v>930.85714285714278</v>
      </c>
      <c r="G39" s="16">
        <f>ADT!V15</f>
        <v>1578.8571428571427</v>
      </c>
    </row>
    <row r="40" spans="1:7" x14ac:dyDescent="0.3">
      <c r="A40" s="62" t="str">
        <f>'Day-7'!A19</f>
        <v>21:00-22:00</v>
      </c>
      <c r="B40" s="16">
        <f>ADT!Q16</f>
        <v>435.42857142857144</v>
      </c>
      <c r="C40" s="16">
        <f>ADT!R16</f>
        <v>321.57142857142861</v>
      </c>
      <c r="D40" s="16">
        <f>ADT!S16</f>
        <v>757</v>
      </c>
      <c r="E40" s="16">
        <f>ADT!T16</f>
        <v>0.2857142857142857</v>
      </c>
      <c r="F40" s="16">
        <f>ADT!U16</f>
        <v>757.00000000000011</v>
      </c>
      <c r="G40" s="16">
        <f>ADT!V16</f>
        <v>1495.9285714285713</v>
      </c>
    </row>
    <row r="41" spans="1:7" x14ac:dyDescent="0.3">
      <c r="A41" s="62" t="str">
        <f>'Day-7'!A20</f>
        <v>22:00-23:00</v>
      </c>
      <c r="B41" s="16">
        <f>ADT!Q17</f>
        <v>270.28571428571428</v>
      </c>
      <c r="C41" s="16">
        <f>ADT!R17</f>
        <v>318</v>
      </c>
      <c r="D41" s="16">
        <f>ADT!S17</f>
        <v>588.28571428571422</v>
      </c>
      <c r="E41" s="16">
        <f>ADT!T17</f>
        <v>0</v>
      </c>
      <c r="F41" s="16">
        <f>ADT!U17</f>
        <v>588.28571428571433</v>
      </c>
      <c r="G41" s="16">
        <f>ADT!V17</f>
        <v>1323.8571428571427</v>
      </c>
    </row>
    <row r="42" spans="1:7" x14ac:dyDescent="0.3">
      <c r="A42" s="62" t="str">
        <f>'Day-7'!A21</f>
        <v>23:00-00:00</v>
      </c>
      <c r="B42" s="16">
        <f>ADT!Q18</f>
        <v>164.14285714285714</v>
      </c>
      <c r="C42" s="16">
        <f>ADT!R18</f>
        <v>292.57142857142856</v>
      </c>
      <c r="D42" s="16">
        <f>ADT!S18</f>
        <v>456.71428571428567</v>
      </c>
      <c r="E42" s="16">
        <f>ADT!T18</f>
        <v>0.2857142857142857</v>
      </c>
      <c r="F42" s="16">
        <f>ADT!U18</f>
        <v>456.71428571428572</v>
      </c>
      <c r="G42" s="16">
        <f>ADT!V18</f>
        <v>1189.9285714285716</v>
      </c>
    </row>
    <row r="43" spans="1:7" x14ac:dyDescent="0.3">
      <c r="A43" s="62" t="str">
        <f>'Day-7'!A22</f>
        <v>00:00-01:00</v>
      </c>
      <c r="B43" s="16">
        <f>ADT!Q19</f>
        <v>92.000000000000014</v>
      </c>
      <c r="C43" s="16">
        <f>ADT!R19</f>
        <v>285.57142857142856</v>
      </c>
      <c r="D43" s="16">
        <f>ADT!S19</f>
        <v>377.57142857142856</v>
      </c>
      <c r="E43" s="16">
        <f>ADT!T19</f>
        <v>0.2857142857142857</v>
      </c>
      <c r="F43" s="16">
        <f>ADT!U19</f>
        <v>377.57142857142856</v>
      </c>
      <c r="G43" s="16">
        <f>ADT!V19</f>
        <v>1102.3571428571431</v>
      </c>
    </row>
    <row r="44" spans="1:7" x14ac:dyDescent="0.3">
      <c r="A44" s="62" t="str">
        <f>'Day-7'!A23</f>
        <v>01:00-02:00</v>
      </c>
      <c r="B44" s="16">
        <f>ADT!Q20</f>
        <v>66.142857142857139</v>
      </c>
      <c r="C44" s="16">
        <f>ADT!R20</f>
        <v>258.57142857142856</v>
      </c>
      <c r="D44" s="16">
        <f>ADT!S20</f>
        <v>324.71428571428567</v>
      </c>
      <c r="E44" s="16">
        <f>ADT!T20</f>
        <v>0</v>
      </c>
      <c r="F44" s="16">
        <f>ADT!U20</f>
        <v>324.71428571428578</v>
      </c>
      <c r="G44" s="16">
        <f>ADT!V20</f>
        <v>984.64285714285711</v>
      </c>
    </row>
    <row r="45" spans="1:7" x14ac:dyDescent="0.3">
      <c r="A45" s="62" t="str">
        <f>'Day-7'!A24</f>
        <v>02:00-03:00</v>
      </c>
      <c r="B45" s="16">
        <f>ADT!Q21</f>
        <v>59</v>
      </c>
      <c r="C45" s="16">
        <f>ADT!R21</f>
        <v>240.85714285714286</v>
      </c>
      <c r="D45" s="16">
        <f>ADT!S21</f>
        <v>299.85714285714289</v>
      </c>
      <c r="E45" s="16">
        <f>ADT!T21</f>
        <v>0</v>
      </c>
      <c r="F45" s="16">
        <f>ADT!U21</f>
        <v>299.85714285714278</v>
      </c>
      <c r="G45" s="16">
        <f>ADT!V21</f>
        <v>902.21428571428578</v>
      </c>
    </row>
    <row r="46" spans="1:7" x14ac:dyDescent="0.3">
      <c r="A46" s="62" t="str">
        <f>'Day-7'!A25</f>
        <v>03:00-04:00</v>
      </c>
      <c r="B46" s="16">
        <f>ADT!Q22</f>
        <v>94</v>
      </c>
      <c r="C46" s="16">
        <f>ADT!R22</f>
        <v>239.42857142857142</v>
      </c>
      <c r="D46" s="16">
        <f>ADT!S22</f>
        <v>333.42857142857144</v>
      </c>
      <c r="E46" s="16">
        <f>ADT!T22</f>
        <v>0</v>
      </c>
      <c r="F46" s="16">
        <f>ADT!U22</f>
        <v>333.4285714285715</v>
      </c>
      <c r="G46" s="16">
        <f>ADT!V22</f>
        <v>924.35714285714278</v>
      </c>
    </row>
    <row r="47" spans="1:7" x14ac:dyDescent="0.3">
      <c r="A47" s="62" t="str">
        <f>'Day-7'!A26</f>
        <v>04:00-05:00</v>
      </c>
      <c r="B47" s="16">
        <f>ADT!Q23</f>
        <v>161.85714285714286</v>
      </c>
      <c r="C47" s="16">
        <f>ADT!R23</f>
        <v>257.28571428571428</v>
      </c>
      <c r="D47" s="16">
        <f>ADT!S23</f>
        <v>419.14285714285711</v>
      </c>
      <c r="E47" s="16">
        <f>ADT!T23</f>
        <v>0.42857142857142855</v>
      </c>
      <c r="F47" s="16">
        <f>ADT!U23</f>
        <v>419.14285714285717</v>
      </c>
      <c r="G47" s="16">
        <f>ADT!V23</f>
        <v>1040.5714285714284</v>
      </c>
    </row>
    <row r="48" spans="1:7" x14ac:dyDescent="0.3">
      <c r="A48" s="62" t="str">
        <f>'Day-7'!A27</f>
        <v>05:00-06:00</v>
      </c>
      <c r="B48" s="16">
        <f>ADT!Q24</f>
        <v>346.71428571428578</v>
      </c>
      <c r="C48" s="16">
        <f>ADT!R24</f>
        <v>301.14285714285717</v>
      </c>
      <c r="D48" s="16">
        <f>ADT!S24</f>
        <v>647.85714285714289</v>
      </c>
      <c r="E48" s="16">
        <f>ADT!T24</f>
        <v>1.7142857142857142</v>
      </c>
      <c r="F48" s="16">
        <f>ADT!U24</f>
        <v>647.85714285714289</v>
      </c>
      <c r="G48" s="16">
        <f>ADT!V24</f>
        <v>1333.9285714285713</v>
      </c>
    </row>
    <row r="49" spans="1:7" x14ac:dyDescent="0.3">
      <c r="A49" s="62" t="str">
        <f>'Day-7'!A28</f>
        <v>06:00-07:00</v>
      </c>
      <c r="B49" s="16">
        <f>ADT!Q25</f>
        <v>549.42857142857133</v>
      </c>
      <c r="C49" s="16">
        <f>ADT!R25</f>
        <v>309</v>
      </c>
      <c r="D49" s="16">
        <f>ADT!S25</f>
        <v>858.42857142857133</v>
      </c>
      <c r="E49" s="16">
        <f>ADT!T25</f>
        <v>1.4285714285714286</v>
      </c>
      <c r="F49" s="16">
        <f>ADT!U25</f>
        <v>858.42857142857122</v>
      </c>
      <c r="G49" s="16">
        <f>ADT!V25</f>
        <v>1532.9285714285718</v>
      </c>
    </row>
    <row r="50" spans="1:7" x14ac:dyDescent="0.3">
      <c r="A50" s="62" t="str">
        <f>'Day-7'!A29</f>
        <v>07:00-08:00</v>
      </c>
      <c r="B50" s="16">
        <f>ADT!Q26</f>
        <v>782.71428571428578</v>
      </c>
      <c r="C50" s="16">
        <f>ADT!R26</f>
        <v>303.71428571428567</v>
      </c>
      <c r="D50" s="16">
        <f>ADT!S26</f>
        <v>1086.4285714285716</v>
      </c>
      <c r="E50" s="16">
        <f>ADT!T26</f>
        <v>0.2857142857142857</v>
      </c>
      <c r="F50" s="16">
        <f>ADT!U26</f>
        <v>1086.4285714285713</v>
      </c>
      <c r="G50" s="16">
        <f>ADT!V26</f>
        <v>1708.1428571428569</v>
      </c>
    </row>
    <row r="51" spans="1:7" x14ac:dyDescent="0.3">
      <c r="A51" s="62" t="str">
        <f>'Day-7'!A30</f>
        <v>08:00-09:00</v>
      </c>
      <c r="B51" s="16">
        <f>ADT!Q27</f>
        <v>1034.4285714285716</v>
      </c>
      <c r="C51" s="16">
        <f>ADT!R27</f>
        <v>311.28571428571428</v>
      </c>
      <c r="D51" s="16">
        <f>ADT!S27</f>
        <v>1345.7142857142858</v>
      </c>
      <c r="E51" s="16">
        <f>ADT!T27</f>
        <v>1</v>
      </c>
      <c r="F51" s="16">
        <f>ADT!U27</f>
        <v>1345.7142857142858</v>
      </c>
      <c r="G51" s="16">
        <f>ADT!V27</f>
        <v>1959.7857142857142</v>
      </c>
    </row>
    <row r="52" spans="1:7" x14ac:dyDescent="0.3">
      <c r="A52" s="62" t="str">
        <f>'Day-7'!A31</f>
        <v>09:00-10:00</v>
      </c>
      <c r="B52" s="16">
        <f>ADT!Q28</f>
        <v>1108.1428571428571</v>
      </c>
      <c r="C52" s="16">
        <f>ADT!R28</f>
        <v>327.71428571428567</v>
      </c>
      <c r="D52" s="16">
        <f>ADT!S28</f>
        <v>1435.8571428571427</v>
      </c>
      <c r="E52" s="16">
        <f>ADT!T28</f>
        <v>0.5714285714285714</v>
      </c>
      <c r="F52" s="16">
        <f>ADT!U28</f>
        <v>1435.8571428571431</v>
      </c>
      <c r="G52" s="16">
        <f>ADT!V28</f>
        <v>2042.0714285714287</v>
      </c>
    </row>
    <row r="53" spans="1:7" x14ac:dyDescent="0.3">
      <c r="A53" s="62" t="str">
        <f>'Day-7'!A32</f>
        <v>10:00-11:00</v>
      </c>
      <c r="B53" s="16">
        <f>ADT!Q29</f>
        <v>1035.2857142857142</v>
      </c>
      <c r="C53" s="16">
        <f>ADT!R29</f>
        <v>347.42857142857139</v>
      </c>
      <c r="D53" s="16">
        <f>ADT!S29</f>
        <v>1382.7142857142856</v>
      </c>
      <c r="E53" s="16">
        <f>ADT!T29</f>
        <v>1.2857142857142856</v>
      </c>
      <c r="F53" s="16">
        <f>ADT!U29</f>
        <v>1382.7142857142856</v>
      </c>
      <c r="G53" s="16">
        <f>ADT!V29</f>
        <v>2057.7142857142853</v>
      </c>
    </row>
    <row r="54" spans="1:7" x14ac:dyDescent="0.3">
      <c r="A54" s="62" t="str">
        <f>'Day-7'!A33</f>
        <v>11:00-12:00</v>
      </c>
      <c r="B54" s="16">
        <f>ADT!Q30</f>
        <v>962.14285714285711</v>
      </c>
      <c r="C54" s="16">
        <f>ADT!R30</f>
        <v>339.85714285714289</v>
      </c>
      <c r="D54" s="16">
        <f>ADT!S30</f>
        <v>1302</v>
      </c>
      <c r="E54" s="16">
        <f>ADT!T30</f>
        <v>0.8571428571428571</v>
      </c>
      <c r="F54" s="16">
        <f>ADT!U30</f>
        <v>1302</v>
      </c>
      <c r="G54" s="16">
        <f>ADT!V30</f>
        <v>1931.5714285714287</v>
      </c>
    </row>
    <row r="55" spans="1:7" x14ac:dyDescent="0.3">
      <c r="A55" s="50" t="s">
        <v>23</v>
      </c>
      <c r="B55" s="17">
        <f t="shared" ref="B55:G55" si="1">SUM(B31:B54)</f>
        <v>14716</v>
      </c>
      <c r="C55" s="17">
        <f t="shared" si="1"/>
        <v>7244.1428571428569</v>
      </c>
      <c r="D55" s="17">
        <f t="shared" si="1"/>
        <v>21960.142857142859</v>
      </c>
      <c r="E55" s="17">
        <f t="shared" si="1"/>
        <v>14.142857142857142</v>
      </c>
      <c r="F55" s="17">
        <f t="shared" si="1"/>
        <v>21960.142857142859</v>
      </c>
      <c r="G55" s="17">
        <f t="shared" si="1"/>
        <v>37135.857142857145</v>
      </c>
    </row>
    <row r="62" spans="1:7" ht="27.6" x14ac:dyDescent="0.3">
      <c r="A62" s="44" t="s">
        <v>71</v>
      </c>
      <c r="B62" s="14">
        <f>SUM(ADT!B48:B54)</f>
        <v>40142</v>
      </c>
      <c r="C62" s="15">
        <f>B62/$B$74</f>
        <v>0.26122889904077673</v>
      </c>
    </row>
    <row r="63" spans="1:7" x14ac:dyDescent="0.3">
      <c r="A63" s="44" t="s">
        <v>79</v>
      </c>
      <c r="B63" s="14">
        <f>SUM(ADT!C48:C54)</f>
        <v>6589</v>
      </c>
      <c r="C63" s="15">
        <f t="shared" ref="C63:C73" si="2">B63/$B$74</f>
        <v>4.2878710970546512E-2</v>
      </c>
    </row>
    <row r="64" spans="1:7" x14ac:dyDescent="0.3">
      <c r="A64" s="44" t="s">
        <v>65</v>
      </c>
      <c r="B64" s="14">
        <f>SUM(ADT!D48:D54)</f>
        <v>5614</v>
      </c>
      <c r="C64" s="15">
        <f t="shared" si="2"/>
        <v>3.6533781057618474E-2</v>
      </c>
    </row>
    <row r="65" spans="1:5" x14ac:dyDescent="0.3">
      <c r="A65" s="44" t="s">
        <v>66</v>
      </c>
      <c r="B65" s="14">
        <f>SUM(ADT!E48:E54)</f>
        <v>6820</v>
      </c>
      <c r="C65" s="15">
        <f t="shared" si="2"/>
        <v>4.4381971288378688E-2</v>
      </c>
    </row>
    <row r="66" spans="1:5" x14ac:dyDescent="0.3">
      <c r="A66" s="44" t="s">
        <v>72</v>
      </c>
      <c r="B66" s="14">
        <f>SUM(ADT!F48:F54)</f>
        <v>6040</v>
      </c>
      <c r="C66" s="15">
        <f t="shared" si="2"/>
        <v>3.9306027358036261E-2</v>
      </c>
    </row>
    <row r="67" spans="1:5" x14ac:dyDescent="0.3">
      <c r="A67" s="44" t="s">
        <v>73</v>
      </c>
      <c r="B67" s="14">
        <f>SUM(ADT!G48:G54)</f>
        <v>7377</v>
      </c>
      <c r="C67" s="15">
        <f t="shared" si="2"/>
        <v>4.8006715864277065E-2</v>
      </c>
    </row>
    <row r="68" spans="1:5" x14ac:dyDescent="0.3">
      <c r="A68" s="44" t="s">
        <v>107</v>
      </c>
      <c r="B68" s="14">
        <f>SUM(ADT!H48:H54)</f>
        <v>23845</v>
      </c>
      <c r="C68" s="15">
        <f>B68/$B$74</f>
        <v>0.15517420899873752</v>
      </c>
    </row>
    <row r="69" spans="1:5" x14ac:dyDescent="0.3">
      <c r="A69" s="44" t="s">
        <v>67</v>
      </c>
      <c r="B69" s="14">
        <f>SUM(ADT!J48:J54)</f>
        <v>47427</v>
      </c>
      <c r="C69" s="15">
        <f t="shared" si="2"/>
        <v>0.30863691382609038</v>
      </c>
    </row>
    <row r="70" spans="1:5" x14ac:dyDescent="0.3">
      <c r="A70" s="44" t="s">
        <v>68</v>
      </c>
      <c r="B70" s="14">
        <f>SUM(ADT!K48:K54)</f>
        <v>8755</v>
      </c>
      <c r="C70" s="15">
        <f t="shared" si="2"/>
        <v>5.6974216807882033E-2</v>
      </c>
    </row>
    <row r="71" spans="1:5" x14ac:dyDescent="0.3">
      <c r="A71" s="44" t="s">
        <v>69</v>
      </c>
      <c r="B71" s="14">
        <f>SUM(ADT!L48:L54)</f>
        <v>153</v>
      </c>
      <c r="C71" s="15">
        <f t="shared" si="2"/>
        <v>9.9566592479793849E-4</v>
      </c>
      <c r="E71" s="15">
        <f>C71+C72</f>
        <v>6.2343003657282679E-3</v>
      </c>
    </row>
    <row r="72" spans="1:5" ht="27.6" x14ac:dyDescent="0.3">
      <c r="A72" s="44" t="s">
        <v>70</v>
      </c>
      <c r="B72" s="14">
        <f>SUM(ADT!M48:M54)</f>
        <v>805</v>
      </c>
      <c r="C72" s="15">
        <f t="shared" si="2"/>
        <v>5.2386344409303294E-3</v>
      </c>
    </row>
    <row r="73" spans="1:5" ht="27.6" x14ac:dyDescent="0.3">
      <c r="A73" s="44" t="s">
        <v>109</v>
      </c>
      <c r="B73" s="14">
        <f>SUM(ADT!N48:O54)</f>
        <v>99</v>
      </c>
      <c r="C73" s="15">
        <f t="shared" si="2"/>
        <v>6.4425442192807779E-4</v>
      </c>
    </row>
    <row r="74" spans="1:5" x14ac:dyDescent="0.3">
      <c r="B74" s="14">
        <f>SUM(B62:B73)</f>
        <v>153666</v>
      </c>
      <c r="C74" s="15">
        <f>SUM(C62:C73)</f>
        <v>0.99999999999999989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47"/>
  <sheetViews>
    <sheetView topLeftCell="A22" zoomScale="124" zoomScaleNormal="124" workbookViewId="0">
      <selection activeCell="I23" sqref="I23"/>
    </sheetView>
  </sheetViews>
  <sheetFormatPr defaultColWidth="9.109375" defaultRowHeight="13.8" x14ac:dyDescent="0.3"/>
  <cols>
    <col min="1" max="1" width="10.109375" style="1" customWidth="1"/>
    <col min="2" max="2" width="10" style="1" customWidth="1"/>
    <col min="3" max="3" width="9.33203125" style="1" customWidth="1"/>
    <col min="4" max="4" width="10.88671875" style="1" customWidth="1"/>
    <col min="5" max="5" width="9.44140625" style="1" customWidth="1"/>
    <col min="6" max="6" width="9" style="1" customWidth="1"/>
    <col min="7" max="7" width="8.44140625" style="1" customWidth="1"/>
    <col min="8" max="8" width="8.6640625" style="1" customWidth="1"/>
    <col min="9" max="9" width="9.109375" style="1" customWidth="1"/>
    <col min="10" max="10" width="10.109375" style="1" customWidth="1"/>
    <col min="11" max="11" width="9.6640625" style="1" customWidth="1"/>
    <col min="12" max="12" width="8.6640625" style="1" customWidth="1"/>
    <col min="13" max="13" width="12.5546875" style="1" customWidth="1"/>
    <col min="14" max="16" width="9.109375" style="1"/>
    <col min="17" max="17" width="9.109375" style="1" customWidth="1"/>
    <col min="18" max="25" width="9.109375" style="1"/>
    <col min="26" max="26" width="18.33203125" style="1" customWidth="1"/>
    <col min="27" max="27" width="16.33203125" style="1" customWidth="1"/>
    <col min="28" max="16384" width="9.109375" style="1"/>
  </cols>
  <sheetData>
    <row r="1" spans="1:23" x14ac:dyDescent="0.3">
      <c r="A1" s="150" t="s">
        <v>175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</row>
    <row r="2" spans="1:23" x14ac:dyDescent="0.3">
      <c r="A2" s="172" t="s">
        <v>234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</row>
    <row r="3" spans="1:23" x14ac:dyDescent="0.3">
      <c r="A3" s="185" t="s">
        <v>235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</row>
    <row r="4" spans="1:23" x14ac:dyDescent="0.3">
      <c r="A4" s="151" t="s">
        <v>2</v>
      </c>
      <c r="B4" s="171" t="s">
        <v>80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0" t="s">
        <v>81</v>
      </c>
      <c r="O4" s="170"/>
      <c r="P4" s="26"/>
      <c r="Q4" s="27"/>
      <c r="R4" s="27"/>
      <c r="S4" s="27"/>
      <c r="T4" s="27"/>
      <c r="U4" s="27"/>
      <c r="V4" s="28"/>
    </row>
    <row r="5" spans="1:23" s="106" customFormat="1" ht="41.4" x14ac:dyDescent="0.3">
      <c r="A5" s="152"/>
      <c r="B5" s="44" t="s">
        <v>71</v>
      </c>
      <c r="C5" s="44" t="s">
        <v>79</v>
      </c>
      <c r="D5" s="44" t="s">
        <v>65</v>
      </c>
      <c r="E5" s="44" t="s">
        <v>66</v>
      </c>
      <c r="F5" s="44" t="s">
        <v>72</v>
      </c>
      <c r="G5" s="44" t="s">
        <v>73</v>
      </c>
      <c r="H5" s="44" t="s">
        <v>74</v>
      </c>
      <c r="I5" s="44" t="s">
        <v>82</v>
      </c>
      <c r="J5" s="44" t="s">
        <v>67</v>
      </c>
      <c r="K5" s="44" t="s">
        <v>68</v>
      </c>
      <c r="L5" s="44" t="s">
        <v>69</v>
      </c>
      <c r="M5" s="44" t="s">
        <v>70</v>
      </c>
      <c r="N5" s="44" t="s">
        <v>64</v>
      </c>
      <c r="O5" s="44" t="s">
        <v>75</v>
      </c>
      <c r="P5" s="44" t="s">
        <v>76</v>
      </c>
      <c r="Q5" s="44" t="s">
        <v>17</v>
      </c>
      <c r="R5" s="44" t="s">
        <v>18</v>
      </c>
      <c r="S5" s="44" t="s">
        <v>19</v>
      </c>
      <c r="T5" s="44" t="s">
        <v>20</v>
      </c>
      <c r="U5" s="44" t="s">
        <v>21</v>
      </c>
      <c r="V5" s="44" t="s">
        <v>22</v>
      </c>
    </row>
    <row r="6" spans="1:23" x14ac:dyDescent="0.3">
      <c r="A6" s="9" t="s">
        <v>176</v>
      </c>
      <c r="B6" s="10">
        <f>'Day-1'!B34</f>
        <v>3164</v>
      </c>
      <c r="C6" s="10">
        <f>'Day-1'!C34</f>
        <v>436</v>
      </c>
      <c r="D6" s="10">
        <f>'Day-1'!D34</f>
        <v>323</v>
      </c>
      <c r="E6" s="10">
        <f>'Day-1'!E34</f>
        <v>368</v>
      </c>
      <c r="F6" s="10">
        <f>'Day-1'!F34</f>
        <v>353</v>
      </c>
      <c r="G6" s="10">
        <f>'Day-1'!G34</f>
        <v>422</v>
      </c>
      <c r="H6" s="10">
        <f>'Day-1'!H34</f>
        <v>1604</v>
      </c>
      <c r="I6" s="10">
        <f>'Day-1'!I34</f>
        <v>0</v>
      </c>
      <c r="J6" s="10">
        <f>'Day-1'!J34</f>
        <v>4451</v>
      </c>
      <c r="K6" s="10">
        <f>'Day-1'!K34</f>
        <v>838</v>
      </c>
      <c r="L6" s="10">
        <f>'Day-1'!L34</f>
        <v>11</v>
      </c>
      <c r="M6" s="10">
        <f>'Day-1'!M34</f>
        <v>42</v>
      </c>
      <c r="N6" s="10">
        <f>'Day-1'!N34</f>
        <v>15</v>
      </c>
      <c r="O6" s="10">
        <f>'Day-1'!O34</f>
        <v>0</v>
      </c>
      <c r="P6" s="10">
        <f>'Day-1'!P34</f>
        <v>2</v>
      </c>
      <c r="Q6" s="10">
        <f>'Day-1'!Q34</f>
        <v>8904</v>
      </c>
      <c r="R6" s="10">
        <f>'Day-1'!R34</f>
        <v>3125</v>
      </c>
      <c r="S6" s="10">
        <f>'Day-1'!S34</f>
        <v>12029</v>
      </c>
      <c r="T6" s="10">
        <f>'Day-1'!T34</f>
        <v>15</v>
      </c>
      <c r="U6" s="10">
        <f>'Day-1'!U34</f>
        <v>12029</v>
      </c>
      <c r="V6" s="13">
        <f>'Day-1'!V34</f>
        <v>18175.5</v>
      </c>
      <c r="W6" s="147">
        <f>V6/V34</f>
        <v>0.50412581302786141</v>
      </c>
    </row>
    <row r="7" spans="1:23" x14ac:dyDescent="0.3">
      <c r="A7" s="9" t="s">
        <v>177</v>
      </c>
      <c r="B7" s="10">
        <f>'Day-2'!B34</f>
        <v>2389</v>
      </c>
      <c r="C7" s="120">
        <f>'Day-2'!C34</f>
        <v>451</v>
      </c>
      <c r="D7" s="10">
        <f>'Day-2'!D34</f>
        <v>396</v>
      </c>
      <c r="E7" s="10">
        <f>'Day-2'!E34</f>
        <v>522</v>
      </c>
      <c r="F7" s="10">
        <f>'Day-2'!F34</f>
        <v>362</v>
      </c>
      <c r="G7" s="112">
        <f>'Day-2'!G34</f>
        <v>431</v>
      </c>
      <c r="H7" s="10">
        <f>'Day-2'!H34</f>
        <v>1581</v>
      </c>
      <c r="I7" s="10">
        <f>'Day-2'!I34</f>
        <v>0</v>
      </c>
      <c r="J7" s="112">
        <f>'Day-2'!J34</f>
        <v>3253</v>
      </c>
      <c r="K7" s="112">
        <f>'Day-2'!K34</f>
        <v>623</v>
      </c>
      <c r="L7" s="112">
        <f>'Day-2'!L34</f>
        <v>11</v>
      </c>
      <c r="M7" s="112">
        <f>'Day-2'!M34</f>
        <v>69</v>
      </c>
      <c r="N7" s="10">
        <f>'Day-2'!N34</f>
        <v>0</v>
      </c>
      <c r="O7" s="10">
        <f>'Day-2'!O34</f>
        <v>2</v>
      </c>
      <c r="P7" s="10">
        <f>'Day-2'!P34</f>
        <v>5</v>
      </c>
      <c r="Q7" s="10">
        <f>'Day-2'!Q34</f>
        <v>6718</v>
      </c>
      <c r="R7" s="10">
        <f>'Day-2'!R34</f>
        <v>3377</v>
      </c>
      <c r="S7" s="10">
        <f>'Day-2'!S34</f>
        <v>10095</v>
      </c>
      <c r="T7" s="10">
        <f>'Day-2'!T34</f>
        <v>2</v>
      </c>
      <c r="U7" s="10">
        <f>'Day-2'!U34</f>
        <v>10095</v>
      </c>
      <c r="V7" s="13">
        <f>'Day-2'!V34</f>
        <v>17017.5</v>
      </c>
      <c r="W7" s="147">
        <f t="shared" ref="W7:W13" si="0">V7/V35</f>
        <v>0.50265839610101903</v>
      </c>
    </row>
    <row r="8" spans="1:23" s="113" customFormat="1" x14ac:dyDescent="0.3">
      <c r="A8" s="11" t="s">
        <v>178</v>
      </c>
      <c r="B8" s="10">
        <f>'Day-3'!B34</f>
        <v>2490</v>
      </c>
      <c r="C8" s="10">
        <f>'Day-3'!C34</f>
        <v>465</v>
      </c>
      <c r="D8" s="10">
        <f>'Day-3'!D34</f>
        <v>429</v>
      </c>
      <c r="E8" s="10">
        <f>'Day-3'!E34</f>
        <v>530</v>
      </c>
      <c r="F8" s="10">
        <f>'Day-3'!F34</f>
        <v>280</v>
      </c>
      <c r="G8" s="10">
        <f>'Day-3'!G34</f>
        <v>529</v>
      </c>
      <c r="H8" s="10">
        <f>'Day-3'!H34</f>
        <v>1556</v>
      </c>
      <c r="I8" s="10">
        <f>'Day-3'!I34</f>
        <v>0</v>
      </c>
      <c r="J8" s="10">
        <f>'Day-3'!J34</f>
        <v>3307</v>
      </c>
      <c r="K8" s="10">
        <f>'Day-3'!K34</f>
        <v>684</v>
      </c>
      <c r="L8" s="10">
        <f>'Day-3'!L34</f>
        <v>2</v>
      </c>
      <c r="M8" s="10">
        <f>'Day-3'!M34</f>
        <v>70</v>
      </c>
      <c r="N8" s="10">
        <f>'Day-3'!N34</f>
        <v>0</v>
      </c>
      <c r="O8" s="10">
        <f>'Day-3'!O34</f>
        <v>8</v>
      </c>
      <c r="P8" s="10">
        <f>'Day-3'!P34</f>
        <v>2</v>
      </c>
      <c r="Q8" s="10">
        <f>'Day-3'!Q34</f>
        <v>6954</v>
      </c>
      <c r="R8" s="10">
        <f>'Day-3'!R34</f>
        <v>3398</v>
      </c>
      <c r="S8" s="10">
        <f>'Day-3'!S34</f>
        <v>10352</v>
      </c>
      <c r="T8" s="10">
        <f>'Day-3'!T34</f>
        <v>8</v>
      </c>
      <c r="U8" s="10">
        <f>'Day-3'!U34</f>
        <v>10352</v>
      </c>
      <c r="V8" s="13">
        <f>'Day-3'!V34</f>
        <v>17218.5</v>
      </c>
      <c r="W8" s="147">
        <f t="shared" si="0"/>
        <v>0.48004516497762661</v>
      </c>
    </row>
    <row r="9" spans="1:23" s="113" customFormat="1" x14ac:dyDescent="0.3">
      <c r="A9" s="11" t="s">
        <v>179</v>
      </c>
      <c r="B9" s="10">
        <f>'Day-4'!B34</f>
        <v>2695</v>
      </c>
      <c r="C9" s="10">
        <f>'Day-4'!C34</f>
        <v>510</v>
      </c>
      <c r="D9" s="10">
        <f>'Day-4'!D34</f>
        <v>436</v>
      </c>
      <c r="E9" s="10">
        <f>'Day-4'!E34</f>
        <v>446</v>
      </c>
      <c r="F9" s="10">
        <f>'Day-4'!F34</f>
        <v>478</v>
      </c>
      <c r="G9" s="10">
        <f>'Day-4'!G34</f>
        <v>444</v>
      </c>
      <c r="H9" s="10">
        <f>'Day-4'!H34</f>
        <v>1766</v>
      </c>
      <c r="I9" s="10">
        <f>'Day-4'!I34</f>
        <v>0</v>
      </c>
      <c r="J9" s="10">
        <f>'Day-4'!J34</f>
        <v>3315</v>
      </c>
      <c r="K9" s="10">
        <f>'Day-4'!K34</f>
        <v>684</v>
      </c>
      <c r="L9" s="10">
        <f>'Day-4'!L34</f>
        <v>4</v>
      </c>
      <c r="M9" s="10">
        <f>'Day-4'!M34</f>
        <v>58</v>
      </c>
      <c r="N9" s="10">
        <f>'Day-4'!N34</f>
        <v>8</v>
      </c>
      <c r="O9" s="10">
        <f>'Day-4'!O34</f>
        <v>4</v>
      </c>
      <c r="P9" s="10">
        <f>'Day-4'!P34</f>
        <v>1</v>
      </c>
      <c r="Q9" s="10">
        <f>'Day-4'!Q34</f>
        <v>7216</v>
      </c>
      <c r="R9" s="10">
        <f>'Day-4'!R34</f>
        <v>3633</v>
      </c>
      <c r="S9" s="10">
        <f>'Day-4'!S34</f>
        <v>10849</v>
      </c>
      <c r="T9" s="10">
        <f>'Day-4'!T34</f>
        <v>12</v>
      </c>
      <c r="U9" s="10">
        <f>'Day-4'!U34</f>
        <v>10849</v>
      </c>
      <c r="V9" s="13">
        <f>'Day-4'!V34</f>
        <v>18668</v>
      </c>
      <c r="W9" s="147">
        <f t="shared" si="0"/>
        <v>0.52492759328515592</v>
      </c>
    </row>
    <row r="10" spans="1:23" s="113" customFormat="1" x14ac:dyDescent="0.3">
      <c r="A10" s="11" t="s">
        <v>180</v>
      </c>
      <c r="B10" s="10">
        <f>'Day-5'!B34</f>
        <v>2417</v>
      </c>
      <c r="C10" s="10">
        <f>'Day-5'!C34</f>
        <v>465</v>
      </c>
      <c r="D10" s="10">
        <f>'Day-5'!D34</f>
        <v>428</v>
      </c>
      <c r="E10" s="10">
        <f>'Day-5'!E34</f>
        <v>589</v>
      </c>
      <c r="F10" s="10">
        <f>'Day-5'!F34</f>
        <v>399</v>
      </c>
      <c r="G10" s="10">
        <f>'Day-5'!G34</f>
        <v>440</v>
      </c>
      <c r="H10" s="10">
        <f>'Day-5'!H34</f>
        <v>1668</v>
      </c>
      <c r="I10" s="10">
        <f>'Day-5'!I34</f>
        <v>0</v>
      </c>
      <c r="J10" s="10">
        <f>'Day-5'!J34</f>
        <v>3496</v>
      </c>
      <c r="K10" s="10">
        <f>'Day-5'!K34</f>
        <v>681</v>
      </c>
      <c r="L10" s="10">
        <f>'Day-5'!L34</f>
        <v>5</v>
      </c>
      <c r="M10" s="10">
        <f>'Day-5'!M34</f>
        <v>56</v>
      </c>
      <c r="N10" s="10">
        <f>'Day-5'!N34</f>
        <v>0</v>
      </c>
      <c r="O10" s="10">
        <f>'Day-5'!O34</f>
        <v>0</v>
      </c>
      <c r="P10" s="10">
        <f>'Day-5'!P34</f>
        <v>5</v>
      </c>
      <c r="Q10" s="10">
        <f>'Day-5'!Q34</f>
        <v>7059</v>
      </c>
      <c r="R10" s="10">
        <f>'Day-5'!R34</f>
        <v>3590</v>
      </c>
      <c r="S10" s="10">
        <f>'Day-5'!S34</f>
        <v>10649</v>
      </c>
      <c r="T10" s="10">
        <f>'Day-5'!T34</f>
        <v>0</v>
      </c>
      <c r="U10" s="10">
        <f>'Day-5'!U34</f>
        <v>10649</v>
      </c>
      <c r="V10" s="13">
        <f>'Day-5'!V34</f>
        <v>17857.5</v>
      </c>
      <c r="W10" s="147">
        <f t="shared" si="0"/>
        <v>0.49418845994188459</v>
      </c>
    </row>
    <row r="11" spans="1:23" x14ac:dyDescent="0.3">
      <c r="A11" s="9" t="s">
        <v>181</v>
      </c>
      <c r="B11" s="10">
        <f>'Day-6'!B34</f>
        <v>2968</v>
      </c>
      <c r="C11" s="112">
        <f>'Day-6'!C34</f>
        <v>466</v>
      </c>
      <c r="D11" s="10">
        <f>'Day-6'!D34</f>
        <v>433</v>
      </c>
      <c r="E11" s="10">
        <f>'Day-6'!E34</f>
        <v>563</v>
      </c>
      <c r="F11" s="10">
        <f>'Day-6'!F34</f>
        <v>442</v>
      </c>
      <c r="G11" s="10">
        <f>'Day-6'!G34</f>
        <v>527</v>
      </c>
      <c r="H11" s="10">
        <f>'Day-6'!H34</f>
        <v>1782</v>
      </c>
      <c r="I11" s="10">
        <f>'Day-6'!I34</f>
        <v>0</v>
      </c>
      <c r="J11" s="10">
        <f>'Day-6'!J34</f>
        <v>3150</v>
      </c>
      <c r="K11" s="10">
        <f>'Day-6'!K34</f>
        <v>670</v>
      </c>
      <c r="L11" s="10">
        <f>'Day-6'!L34</f>
        <v>13</v>
      </c>
      <c r="M11" s="10">
        <f>'Day-6'!M34</f>
        <v>72</v>
      </c>
      <c r="N11" s="10">
        <f>'Day-6'!N34</f>
        <v>2</v>
      </c>
      <c r="O11" s="10">
        <f>'Day-6'!O34</f>
        <v>2</v>
      </c>
      <c r="P11" s="10">
        <f>'Day-6'!P34</f>
        <v>2</v>
      </c>
      <c r="Q11" s="10">
        <f>'Day-6'!Q34</f>
        <v>7258</v>
      </c>
      <c r="R11" s="10">
        <f>'Day-6'!R34</f>
        <v>3834</v>
      </c>
      <c r="S11" s="10">
        <f>'Day-6'!S34</f>
        <v>11092</v>
      </c>
      <c r="T11" s="10">
        <f>'Day-6'!T34</f>
        <v>4</v>
      </c>
      <c r="U11" s="10">
        <f>'Day-6'!U34</f>
        <v>11092</v>
      </c>
      <c r="V11" s="13">
        <f>'Day-6'!V34</f>
        <v>19172</v>
      </c>
      <c r="W11" s="147">
        <f t="shared" si="0"/>
        <v>0.49396457326892107</v>
      </c>
    </row>
    <row r="12" spans="1:23" x14ac:dyDescent="0.3">
      <c r="A12" s="9" t="s">
        <v>182</v>
      </c>
      <c r="B12" s="10">
        <f>'Day-7'!B34</f>
        <v>3318</v>
      </c>
      <c r="C12" s="10">
        <f>'Day-7'!C34</f>
        <v>458</v>
      </c>
      <c r="D12" s="10">
        <f>'Day-7'!D34</f>
        <v>430</v>
      </c>
      <c r="E12" s="10">
        <f>'Day-7'!E34</f>
        <v>465</v>
      </c>
      <c r="F12" s="10">
        <f>'Day-7'!F34</f>
        <v>346</v>
      </c>
      <c r="G12" s="10">
        <f>'Day-7'!G34</f>
        <v>339</v>
      </c>
      <c r="H12" s="10">
        <f>'Day-7'!H34</f>
        <v>2150</v>
      </c>
      <c r="I12" s="10">
        <f>'Day-7'!I34</f>
        <v>0</v>
      </c>
      <c r="J12" s="10">
        <f>'Day-7'!J34</f>
        <v>3989</v>
      </c>
      <c r="K12" s="10">
        <f>'Day-7'!K34</f>
        <v>576</v>
      </c>
      <c r="L12" s="10">
        <f>'Day-7'!L34</f>
        <v>36</v>
      </c>
      <c r="M12" s="10">
        <f>'Day-7'!M34</f>
        <v>53</v>
      </c>
      <c r="N12" s="10">
        <f>'Day-7'!N34</f>
        <v>5</v>
      </c>
      <c r="O12" s="10">
        <f>'Day-7'!O34</f>
        <v>0</v>
      </c>
      <c r="P12" s="10">
        <f>'Day-7'!P34</f>
        <v>6</v>
      </c>
      <c r="Q12" s="10">
        <f>'Day-7'!Q34</f>
        <v>8346</v>
      </c>
      <c r="R12" s="10">
        <f>'Day-7'!R34</f>
        <v>3825</v>
      </c>
      <c r="S12" s="10">
        <f>'Day-7'!S34</f>
        <v>12171</v>
      </c>
      <c r="T12" s="10">
        <f>'Day-7'!T34</f>
        <v>5</v>
      </c>
      <c r="U12" s="10">
        <f>'Day-7'!U34</f>
        <v>12171</v>
      </c>
      <c r="V12" s="13">
        <f>'Day-7'!V34</f>
        <v>20442</v>
      </c>
      <c r="W12" s="147">
        <f t="shared" si="0"/>
        <v>0.46817135593802606</v>
      </c>
    </row>
    <row r="13" spans="1:23" x14ac:dyDescent="0.3">
      <c r="A13" s="11" t="s">
        <v>52</v>
      </c>
      <c r="B13" s="13">
        <f>AVERAGE(B6:B12)</f>
        <v>2777.2857142857142</v>
      </c>
      <c r="C13" s="13">
        <f t="shared" ref="C13:V13" si="1">AVERAGE(C6:C12)</f>
        <v>464.42857142857144</v>
      </c>
      <c r="D13" s="13">
        <f t="shared" si="1"/>
        <v>410.71428571428572</v>
      </c>
      <c r="E13" s="13">
        <f t="shared" si="1"/>
        <v>497.57142857142856</v>
      </c>
      <c r="F13" s="13">
        <f t="shared" si="1"/>
        <v>380</v>
      </c>
      <c r="G13" s="13">
        <f t="shared" si="1"/>
        <v>447.42857142857144</v>
      </c>
      <c r="H13" s="13">
        <f t="shared" si="1"/>
        <v>1729.5714285714287</v>
      </c>
      <c r="I13" s="13">
        <f t="shared" si="1"/>
        <v>0</v>
      </c>
      <c r="J13" s="13">
        <f t="shared" si="1"/>
        <v>3565.8571428571427</v>
      </c>
      <c r="K13" s="13">
        <f t="shared" si="1"/>
        <v>679.42857142857144</v>
      </c>
      <c r="L13" s="13">
        <f t="shared" si="1"/>
        <v>11.714285714285714</v>
      </c>
      <c r="M13" s="13">
        <f t="shared" si="1"/>
        <v>60</v>
      </c>
      <c r="N13" s="13">
        <f t="shared" si="1"/>
        <v>4.2857142857142856</v>
      </c>
      <c r="O13" s="13">
        <f t="shared" si="1"/>
        <v>2.2857142857142856</v>
      </c>
      <c r="P13" s="13">
        <f t="shared" si="1"/>
        <v>3.2857142857142856</v>
      </c>
      <c r="Q13" s="12">
        <f t="shared" si="1"/>
        <v>7493.5714285714284</v>
      </c>
      <c r="R13" s="12">
        <f t="shared" si="1"/>
        <v>3540.2857142857142</v>
      </c>
      <c r="S13" s="12">
        <f t="shared" si="1"/>
        <v>11033.857142857143</v>
      </c>
      <c r="T13" s="12">
        <f t="shared" si="1"/>
        <v>6.5714285714285712</v>
      </c>
      <c r="U13" s="13">
        <f t="shared" si="1"/>
        <v>11033.857142857143</v>
      </c>
      <c r="V13" s="12">
        <f t="shared" si="1"/>
        <v>18364.428571428572</v>
      </c>
      <c r="W13" s="147">
        <f t="shared" si="0"/>
        <v>0.49452012109974575</v>
      </c>
    </row>
    <row r="15" spans="1:23" x14ac:dyDescent="0.3">
      <c r="A15" s="150" t="s">
        <v>175</v>
      </c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</row>
    <row r="16" spans="1:23" x14ac:dyDescent="0.3">
      <c r="A16" s="172" t="s">
        <v>236</v>
      </c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</row>
    <row r="17" spans="1:27" x14ac:dyDescent="0.3">
      <c r="A17" s="153" t="s">
        <v>237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5"/>
    </row>
    <row r="18" spans="1:27" x14ac:dyDescent="0.3">
      <c r="A18" s="151" t="s">
        <v>2</v>
      </c>
      <c r="B18" s="171" t="s">
        <v>80</v>
      </c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0" t="s">
        <v>81</v>
      </c>
      <c r="O18" s="170"/>
      <c r="P18" s="26"/>
      <c r="Q18" s="27"/>
      <c r="R18" s="27"/>
      <c r="S18" s="27"/>
      <c r="T18" s="27"/>
      <c r="U18" s="27"/>
      <c r="V18" s="28"/>
    </row>
    <row r="19" spans="1:27" s="106" customFormat="1" ht="41.4" x14ac:dyDescent="0.3">
      <c r="A19" s="152"/>
      <c r="B19" s="44" t="s">
        <v>71</v>
      </c>
      <c r="C19" s="44" t="s">
        <v>79</v>
      </c>
      <c r="D19" s="44" t="s">
        <v>65</v>
      </c>
      <c r="E19" s="44" t="s">
        <v>66</v>
      </c>
      <c r="F19" s="44" t="s">
        <v>72</v>
      </c>
      <c r="G19" s="44" t="s">
        <v>73</v>
      </c>
      <c r="H19" s="44" t="s">
        <v>74</v>
      </c>
      <c r="I19" s="44" t="s">
        <v>82</v>
      </c>
      <c r="J19" s="44" t="s">
        <v>67</v>
      </c>
      <c r="K19" s="44" t="s">
        <v>68</v>
      </c>
      <c r="L19" s="44" t="s">
        <v>69</v>
      </c>
      <c r="M19" s="44" t="s">
        <v>70</v>
      </c>
      <c r="N19" s="44" t="s">
        <v>64</v>
      </c>
      <c r="O19" s="44" t="s">
        <v>75</v>
      </c>
      <c r="P19" s="44" t="s">
        <v>76</v>
      </c>
      <c r="Q19" s="44" t="s">
        <v>17</v>
      </c>
      <c r="R19" s="44" t="s">
        <v>18</v>
      </c>
      <c r="S19" s="44" t="s">
        <v>19</v>
      </c>
      <c r="T19" s="44" t="s">
        <v>20</v>
      </c>
      <c r="U19" s="44" t="s">
        <v>21</v>
      </c>
      <c r="V19" s="44" t="s">
        <v>22</v>
      </c>
    </row>
    <row r="20" spans="1:27" x14ac:dyDescent="0.3">
      <c r="A20" s="9" t="s">
        <v>176</v>
      </c>
      <c r="B20" s="112">
        <f>'Day-1'!B68</f>
        <v>3509</v>
      </c>
      <c r="C20" s="10">
        <f>'Day-1'!C68</f>
        <v>454</v>
      </c>
      <c r="D20" s="10">
        <f>'Day-1'!D68</f>
        <v>334</v>
      </c>
      <c r="E20" s="10">
        <f>'Day-1'!E68</f>
        <v>430</v>
      </c>
      <c r="F20" s="10">
        <f>'Day-1'!F68</f>
        <v>427</v>
      </c>
      <c r="G20" s="10">
        <f>'Day-1'!G68</f>
        <v>723</v>
      </c>
      <c r="H20" s="10">
        <f>'Day-1'!H68</f>
        <v>1355</v>
      </c>
      <c r="I20" s="10">
        <f>'Day-1'!I68</f>
        <v>0</v>
      </c>
      <c r="J20" s="10">
        <f>'Day-1'!J68</f>
        <v>3346</v>
      </c>
      <c r="K20" s="10">
        <f>'Day-1'!K68</f>
        <v>596</v>
      </c>
      <c r="L20" s="10">
        <f>'Day-1'!L68</f>
        <v>10</v>
      </c>
      <c r="M20" s="112">
        <f>'Day-1'!M68</f>
        <v>42</v>
      </c>
      <c r="N20" s="10">
        <f>'Day-1'!N68</f>
        <v>15</v>
      </c>
      <c r="O20" s="112">
        <f>'Day-1'!O68</f>
        <v>0</v>
      </c>
      <c r="P20" s="112">
        <f>'Day-1'!P68</f>
        <v>0</v>
      </c>
      <c r="Q20" s="10">
        <f>'Day-1'!Q68</f>
        <v>7920</v>
      </c>
      <c r="R20" s="10">
        <f>'Day-1'!R68</f>
        <v>3321</v>
      </c>
      <c r="S20" s="10">
        <f>'Day-1'!S68</f>
        <v>11241</v>
      </c>
      <c r="T20" s="10">
        <f>'Day-1'!T68</f>
        <v>15</v>
      </c>
      <c r="U20" s="10">
        <f>'Day-1'!U68</f>
        <v>11241</v>
      </c>
      <c r="V20" s="13">
        <f>'Day-1'!V68</f>
        <v>17878</v>
      </c>
      <c r="W20" s="147">
        <f>V20/V34</f>
        <v>0.49587418697213864</v>
      </c>
    </row>
    <row r="21" spans="1:27" x14ac:dyDescent="0.3">
      <c r="A21" s="9" t="s">
        <v>177</v>
      </c>
      <c r="B21" s="10">
        <f>'Day-2'!B68</f>
        <v>2324</v>
      </c>
      <c r="C21" s="10">
        <f>'Day-2'!C68</f>
        <v>434</v>
      </c>
      <c r="D21" s="10">
        <f>'Day-2'!D68</f>
        <v>405</v>
      </c>
      <c r="E21" s="10">
        <f>'Day-2'!E68</f>
        <v>484</v>
      </c>
      <c r="F21" s="10">
        <f>'Day-2'!F68</f>
        <v>381</v>
      </c>
      <c r="G21" s="10">
        <f>'Day-2'!G68</f>
        <v>607</v>
      </c>
      <c r="H21" s="10">
        <f>'Day-2'!H68</f>
        <v>1352</v>
      </c>
      <c r="I21" s="10">
        <f>'Day-2'!I68</f>
        <v>0</v>
      </c>
      <c r="J21" s="10">
        <f>'Day-2'!J68</f>
        <v>2459</v>
      </c>
      <c r="K21" s="10">
        <f>'Day-2'!K68</f>
        <v>463</v>
      </c>
      <c r="L21" s="10">
        <f>'Day-2'!L68</f>
        <v>3</v>
      </c>
      <c r="M21" s="112">
        <f>'Day-2'!M68</f>
        <v>36</v>
      </c>
      <c r="N21" s="10">
        <f>'Day-2'!N68</f>
        <v>5</v>
      </c>
      <c r="O21" s="112">
        <f>'Day-2'!O68</f>
        <v>0</v>
      </c>
      <c r="P21" s="112">
        <f>'Day-2'!P68</f>
        <v>2</v>
      </c>
      <c r="Q21" s="10">
        <f>'Day-2'!Q68</f>
        <v>6053</v>
      </c>
      <c r="R21" s="10">
        <f>'Day-2'!R68</f>
        <v>3524</v>
      </c>
      <c r="S21" s="10">
        <f>'Day-2'!S68</f>
        <v>9577</v>
      </c>
      <c r="T21" s="10">
        <f>'Day-2'!T68</f>
        <v>10</v>
      </c>
      <c r="U21" s="10">
        <f>'Day-2'!U68</f>
        <v>9577</v>
      </c>
      <c r="V21" s="13">
        <f>'Day-2'!V68</f>
        <v>16837.5</v>
      </c>
      <c r="W21" s="147">
        <f t="shared" ref="W21:W27" si="2">V21/V35</f>
        <v>0.49734160389898097</v>
      </c>
    </row>
    <row r="22" spans="1:27" s="113" customFormat="1" x14ac:dyDescent="0.3">
      <c r="A22" s="11" t="s">
        <v>178</v>
      </c>
      <c r="B22" s="10">
        <f>'Day-3'!B68</f>
        <v>2907</v>
      </c>
      <c r="C22" s="10">
        <f>'Day-3'!C68</f>
        <v>505</v>
      </c>
      <c r="D22" s="10">
        <f>'Day-3'!D68</f>
        <v>362</v>
      </c>
      <c r="E22" s="10">
        <f>'Day-3'!E68</f>
        <v>449</v>
      </c>
      <c r="F22" s="10">
        <f>'Day-3'!F68</f>
        <v>391</v>
      </c>
      <c r="G22" s="10">
        <f>'Day-3'!G68</f>
        <v>556</v>
      </c>
      <c r="H22" s="10">
        <f>'Day-3'!H68</f>
        <v>1779</v>
      </c>
      <c r="I22" s="10">
        <f>'Day-3'!I68</f>
        <v>0</v>
      </c>
      <c r="J22" s="10">
        <f>'Day-3'!J68</f>
        <v>2968</v>
      </c>
      <c r="K22" s="10">
        <f>'Day-3'!K68</f>
        <v>539</v>
      </c>
      <c r="L22" s="10">
        <f>'Day-3'!L68</f>
        <v>28</v>
      </c>
      <c r="M22" s="10">
        <f>'Day-3'!M68</f>
        <v>60</v>
      </c>
      <c r="N22" s="10">
        <f>'Day-3'!N68</f>
        <v>4</v>
      </c>
      <c r="O22" s="10">
        <f>'Day-3'!O68</f>
        <v>0</v>
      </c>
      <c r="P22" s="10">
        <f>'Day-3'!P68</f>
        <v>2</v>
      </c>
      <c r="Q22" s="10">
        <f>'Day-3'!Q68</f>
        <v>11</v>
      </c>
      <c r="R22" s="10">
        <f>'Day-3'!R68</f>
        <v>20</v>
      </c>
      <c r="S22" s="10">
        <f>'Day-3'!S68</f>
        <v>31</v>
      </c>
      <c r="T22" s="10">
        <f>'Day-3'!T68</f>
        <v>4</v>
      </c>
      <c r="U22" s="10">
        <f>'Day-3'!U68</f>
        <v>10550</v>
      </c>
      <c r="V22" s="13">
        <f>'Day-3'!V68</f>
        <v>18650</v>
      </c>
      <c r="W22" s="147">
        <f t="shared" si="2"/>
        <v>0.51995483502237339</v>
      </c>
    </row>
    <row r="23" spans="1:27" s="113" customFormat="1" x14ac:dyDescent="0.3">
      <c r="A23" s="11" t="s">
        <v>179</v>
      </c>
      <c r="B23" s="10">
        <f>'Day-4'!B68</f>
        <v>2630</v>
      </c>
      <c r="C23" s="10">
        <f>'Day-4'!C68</f>
        <v>476</v>
      </c>
      <c r="D23" s="10">
        <f>'Day-4'!D68</f>
        <v>361</v>
      </c>
      <c r="E23" s="10">
        <f>'Day-4'!E68</f>
        <v>472</v>
      </c>
      <c r="F23" s="10">
        <f>'Day-4'!F68</f>
        <v>592</v>
      </c>
      <c r="G23" s="10">
        <f>'Day-4'!G68</f>
        <v>637</v>
      </c>
      <c r="H23" s="10">
        <f>'Day-4'!H68</f>
        <v>1305</v>
      </c>
      <c r="I23" s="10">
        <f>'Day-4'!I68</f>
        <v>0</v>
      </c>
      <c r="J23" s="10">
        <f>'Day-4'!J68</f>
        <v>3045</v>
      </c>
      <c r="K23" s="10">
        <f>'Day-4'!K68</f>
        <v>548</v>
      </c>
      <c r="L23" s="10">
        <f>'Day-4'!L68</f>
        <v>8</v>
      </c>
      <c r="M23" s="10">
        <f>'Day-4'!M68</f>
        <v>25</v>
      </c>
      <c r="N23" s="10">
        <f>'Day-4'!N68</f>
        <v>0</v>
      </c>
      <c r="O23" s="10">
        <f>'Day-4'!O68</f>
        <v>0</v>
      </c>
      <c r="P23" s="10">
        <f>'Day-4'!P68</f>
        <v>3</v>
      </c>
      <c r="Q23" s="10">
        <f>'Day-4'!Q68</f>
        <v>6699</v>
      </c>
      <c r="R23" s="10">
        <f>'Day-4'!R68</f>
        <v>3403</v>
      </c>
      <c r="S23" s="10">
        <f>'Day-4'!S68</f>
        <v>10102</v>
      </c>
      <c r="T23" s="10">
        <f>'Day-4'!T68</f>
        <v>0</v>
      </c>
      <c r="U23" s="10">
        <f>'Day-4'!U68</f>
        <v>10102</v>
      </c>
      <c r="V23" s="13">
        <f>'Day-4'!V68</f>
        <v>16895</v>
      </c>
      <c r="W23" s="147">
        <f t="shared" si="2"/>
        <v>0.47507240671484408</v>
      </c>
    </row>
    <row r="24" spans="1:27" s="113" customFormat="1" x14ac:dyDescent="0.3">
      <c r="A24" s="11" t="s">
        <v>180</v>
      </c>
      <c r="B24" s="10">
        <f>'Day-5'!B68</f>
        <v>2399</v>
      </c>
      <c r="C24" s="10">
        <f>'Day-5'!C68</f>
        <v>465</v>
      </c>
      <c r="D24" s="10">
        <f>'Day-5'!D68</f>
        <v>412</v>
      </c>
      <c r="E24" s="10">
        <f>'Day-5'!E68</f>
        <v>583</v>
      </c>
      <c r="F24" s="10">
        <f>'Day-5'!F68</f>
        <v>488</v>
      </c>
      <c r="G24" s="10">
        <f>'Day-5'!G68</f>
        <v>603</v>
      </c>
      <c r="H24" s="10">
        <f>'Day-5'!H68</f>
        <v>1667</v>
      </c>
      <c r="I24" s="10">
        <f>'Day-5'!I68</f>
        <v>0</v>
      </c>
      <c r="J24" s="10">
        <f>'Day-5'!J68</f>
        <v>3090</v>
      </c>
      <c r="K24" s="10">
        <f>'Day-5'!K68</f>
        <v>606</v>
      </c>
      <c r="L24" s="10">
        <f>'Day-5'!L68</f>
        <v>0</v>
      </c>
      <c r="M24" s="112">
        <f>'Day-5'!M68</f>
        <v>52</v>
      </c>
      <c r="N24" s="10">
        <f>'Day-5'!N68</f>
        <v>4</v>
      </c>
      <c r="O24" s="10">
        <f>'Day-5'!O68</f>
        <v>2</v>
      </c>
      <c r="P24" s="10">
        <f>'Day-5'!P68</f>
        <v>7</v>
      </c>
      <c r="Q24" s="10">
        <f>'Day-5'!Q68</f>
        <v>6566</v>
      </c>
      <c r="R24" s="10">
        <f>'Day-5'!R68</f>
        <v>3812</v>
      </c>
      <c r="S24" s="10">
        <f>'Day-5'!S68</f>
        <v>10378</v>
      </c>
      <c r="T24" s="10">
        <f>'Day-5'!T68</f>
        <v>6</v>
      </c>
      <c r="U24" s="10">
        <f>'Day-5'!U68</f>
        <v>10378</v>
      </c>
      <c r="V24" s="13">
        <f>'Day-5'!V68</f>
        <v>18277.5</v>
      </c>
      <c r="W24" s="147">
        <f t="shared" si="2"/>
        <v>0.50581154005811535</v>
      </c>
    </row>
    <row r="25" spans="1:27" x14ac:dyDescent="0.3">
      <c r="A25" s="9" t="s">
        <v>181</v>
      </c>
      <c r="B25" s="10">
        <f>'Day-6'!B68</f>
        <v>2703</v>
      </c>
      <c r="C25" s="10">
        <f>'Day-6'!C68</f>
        <v>492</v>
      </c>
      <c r="D25" s="10">
        <f>'Day-6'!D68</f>
        <v>429</v>
      </c>
      <c r="E25" s="10">
        <f>'Day-6'!E68</f>
        <v>415</v>
      </c>
      <c r="F25" s="10">
        <f>'Day-6'!F68</f>
        <v>563</v>
      </c>
      <c r="G25" s="10">
        <f>'Day-6'!G68</f>
        <v>573</v>
      </c>
      <c r="H25" s="10">
        <f>'Day-6'!H68</f>
        <v>1845</v>
      </c>
      <c r="I25" s="10">
        <f>'Day-6'!I68</f>
        <v>0</v>
      </c>
      <c r="J25" s="10">
        <f>'Day-6'!J68</f>
        <v>3385</v>
      </c>
      <c r="K25" s="10">
        <f>'Day-6'!K68</f>
        <v>592</v>
      </c>
      <c r="L25" s="10">
        <f>'Day-6'!L68</f>
        <v>2</v>
      </c>
      <c r="M25" s="112">
        <f>'Day-6'!M68</f>
        <v>78</v>
      </c>
      <c r="N25" s="10">
        <f>'Day-6'!N68</f>
        <v>14</v>
      </c>
      <c r="O25" s="112">
        <f>'Day-6'!O68</f>
        <v>0</v>
      </c>
      <c r="P25" s="112">
        <f>'Day-6'!P68</f>
        <v>12</v>
      </c>
      <c r="Q25" s="10">
        <f>'Day-6'!Q68</f>
        <v>7186</v>
      </c>
      <c r="R25" s="10">
        <f>'Day-6'!R68</f>
        <v>3917</v>
      </c>
      <c r="S25" s="10">
        <f>'Day-6'!S68</f>
        <v>11103</v>
      </c>
      <c r="T25" s="10">
        <f>'Day-6'!T68</f>
        <v>14</v>
      </c>
      <c r="U25" s="10">
        <f>'Day-6'!U68</f>
        <v>11103</v>
      </c>
      <c r="V25" s="13">
        <f>'Day-6'!V68</f>
        <v>19640.5</v>
      </c>
      <c r="W25" s="147">
        <f t="shared" si="2"/>
        <v>0.50603542673107893</v>
      </c>
    </row>
    <row r="26" spans="1:27" x14ac:dyDescent="0.3">
      <c r="A26" s="9" t="s">
        <v>182</v>
      </c>
      <c r="B26" s="10">
        <f>'Day-7'!B68</f>
        <v>4089</v>
      </c>
      <c r="C26" s="10">
        <f>'Day-7'!C68</f>
        <v>474</v>
      </c>
      <c r="D26" s="10">
        <f>'Day-7'!D68</f>
        <v>404</v>
      </c>
      <c r="E26" s="10">
        <f>'Day-7'!E68</f>
        <v>463</v>
      </c>
      <c r="F26" s="10">
        <f>'Day-7'!F68</f>
        <v>507</v>
      </c>
      <c r="G26" s="10">
        <f>'Day-7'!G68</f>
        <v>503</v>
      </c>
      <c r="H26" s="10">
        <f>'Day-7'!H68</f>
        <v>2346</v>
      </c>
      <c r="I26" s="10">
        <f>'Day-7'!I68</f>
        <v>0</v>
      </c>
      <c r="J26" s="10">
        <f>'Day-7'!J68</f>
        <v>4026</v>
      </c>
      <c r="K26" s="10">
        <f>'Day-7'!K68</f>
        <v>617</v>
      </c>
      <c r="L26" s="10">
        <f>'Day-7'!L68</f>
        <v>19</v>
      </c>
      <c r="M26" s="10">
        <f>'Day-7'!M68</f>
        <v>77</v>
      </c>
      <c r="N26" s="10">
        <f>'Day-7'!N68</f>
        <v>4</v>
      </c>
      <c r="O26" s="112">
        <f>'Day-7'!O68</f>
        <v>0</v>
      </c>
      <c r="P26" s="112">
        <f>'Day-7'!P68</f>
        <v>4</v>
      </c>
      <c r="Q26" s="10">
        <f>'Day-7'!Q68</f>
        <v>9210</v>
      </c>
      <c r="R26" s="10">
        <f>'Day-7'!R68</f>
        <v>4323</v>
      </c>
      <c r="S26" s="10">
        <f>'Day-7'!S68</f>
        <v>13533</v>
      </c>
      <c r="T26" s="10">
        <f>'Day-7'!T68</f>
        <v>4</v>
      </c>
      <c r="U26" s="10">
        <f>'Day-7'!U68</f>
        <v>13533</v>
      </c>
      <c r="V26" s="13">
        <f>'Day-7'!V68</f>
        <v>23221.5</v>
      </c>
      <c r="W26" s="147">
        <f t="shared" si="2"/>
        <v>0.53182864406197394</v>
      </c>
    </row>
    <row r="27" spans="1:27" x14ac:dyDescent="0.3">
      <c r="A27" s="11" t="s">
        <v>52</v>
      </c>
      <c r="B27" s="13">
        <f>AVERAGE(B20:B26)</f>
        <v>2937.2857142857142</v>
      </c>
      <c r="C27" s="13">
        <f>AVERAGE(C20:C26)</f>
        <v>471.42857142857144</v>
      </c>
      <c r="D27" s="13">
        <f t="shared" ref="D27:V27" si="3">AVERAGE(D20:D26)</f>
        <v>386.71428571428572</v>
      </c>
      <c r="E27" s="13">
        <f t="shared" si="3"/>
        <v>470.85714285714283</v>
      </c>
      <c r="F27" s="13">
        <f t="shared" si="3"/>
        <v>478.42857142857144</v>
      </c>
      <c r="G27" s="13">
        <f t="shared" si="3"/>
        <v>600.28571428571433</v>
      </c>
      <c r="H27" s="13">
        <f t="shared" si="3"/>
        <v>1664.1428571428571</v>
      </c>
      <c r="I27" s="13">
        <f t="shared" si="3"/>
        <v>0</v>
      </c>
      <c r="J27" s="13">
        <f t="shared" si="3"/>
        <v>3188.4285714285716</v>
      </c>
      <c r="K27" s="13">
        <f t="shared" si="3"/>
        <v>565.85714285714289</v>
      </c>
      <c r="L27" s="13">
        <f t="shared" si="3"/>
        <v>10</v>
      </c>
      <c r="M27" s="13">
        <f t="shared" si="3"/>
        <v>52.857142857142854</v>
      </c>
      <c r="N27" s="13">
        <f t="shared" si="3"/>
        <v>6.5714285714285712</v>
      </c>
      <c r="O27" s="111">
        <f t="shared" si="3"/>
        <v>0.2857142857142857</v>
      </c>
      <c r="P27" s="111">
        <f t="shared" si="3"/>
        <v>4.2857142857142856</v>
      </c>
      <c r="Q27" s="12">
        <f t="shared" si="3"/>
        <v>6235</v>
      </c>
      <c r="R27" s="12">
        <f t="shared" si="3"/>
        <v>3188.5714285714284</v>
      </c>
      <c r="S27" s="12">
        <f t="shared" si="3"/>
        <v>9423.5714285714294</v>
      </c>
      <c r="T27" s="12">
        <f t="shared" si="3"/>
        <v>7.5714285714285712</v>
      </c>
      <c r="U27" s="12">
        <f t="shared" si="3"/>
        <v>10926.285714285714</v>
      </c>
      <c r="V27" s="12">
        <f t="shared" si="3"/>
        <v>18771.428571428572</v>
      </c>
      <c r="W27" s="147">
        <f t="shared" si="2"/>
        <v>0.50547987890025425</v>
      </c>
    </row>
    <row r="29" spans="1:27" x14ac:dyDescent="0.3">
      <c r="A29" s="150" t="s">
        <v>175</v>
      </c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</row>
    <row r="30" spans="1:27" x14ac:dyDescent="0.3">
      <c r="A30" s="172" t="s">
        <v>238</v>
      </c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</row>
    <row r="31" spans="1:27" ht="14.4" thickBot="1" x14ac:dyDescent="0.35">
      <c r="A31" s="172" t="s">
        <v>1</v>
      </c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</row>
    <row r="32" spans="1:27" ht="14.4" thickBot="1" x14ac:dyDescent="0.35">
      <c r="A32" s="151" t="s">
        <v>2</v>
      </c>
      <c r="B32" s="171" t="s">
        <v>80</v>
      </c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0" t="s">
        <v>81</v>
      </c>
      <c r="O32" s="170"/>
      <c r="P32" s="26"/>
      <c r="Q32" s="27"/>
      <c r="R32" s="27"/>
      <c r="S32" s="27"/>
      <c r="T32" s="27"/>
      <c r="U32" s="27"/>
      <c r="V32" s="28"/>
      <c r="X32" s="181" t="s">
        <v>199</v>
      </c>
      <c r="Y32" s="181" t="s">
        <v>35</v>
      </c>
      <c r="Z32" s="183" t="s">
        <v>200</v>
      </c>
      <c r="AA32" s="184"/>
    </row>
    <row r="33" spans="1:27" ht="42" thickBot="1" x14ac:dyDescent="0.35">
      <c r="A33" s="152"/>
      <c r="B33" s="44" t="s">
        <v>71</v>
      </c>
      <c r="C33" s="44" t="s">
        <v>79</v>
      </c>
      <c r="D33" s="44" t="s">
        <v>65</v>
      </c>
      <c r="E33" s="44" t="s">
        <v>66</v>
      </c>
      <c r="F33" s="44" t="s">
        <v>72</v>
      </c>
      <c r="G33" s="44" t="s">
        <v>73</v>
      </c>
      <c r="H33" s="44" t="s">
        <v>74</v>
      </c>
      <c r="I33" s="44" t="s">
        <v>82</v>
      </c>
      <c r="J33" s="44" t="s">
        <v>67</v>
      </c>
      <c r="K33" s="44" t="s">
        <v>68</v>
      </c>
      <c r="L33" s="44" t="s">
        <v>69</v>
      </c>
      <c r="M33" s="44" t="s">
        <v>70</v>
      </c>
      <c r="N33" s="44" t="s">
        <v>64</v>
      </c>
      <c r="O33" s="44" t="s">
        <v>75</v>
      </c>
      <c r="P33" s="44" t="s">
        <v>76</v>
      </c>
      <c r="Q33" s="44" t="s">
        <v>17</v>
      </c>
      <c r="R33" s="44" t="s">
        <v>18</v>
      </c>
      <c r="S33" s="44" t="s">
        <v>19</v>
      </c>
      <c r="T33" s="44" t="s">
        <v>20</v>
      </c>
      <c r="U33" s="44" t="s">
        <v>21</v>
      </c>
      <c r="V33" s="44" t="s">
        <v>22</v>
      </c>
      <c r="X33" s="182"/>
      <c r="Y33" s="182"/>
      <c r="Z33" s="139" t="s">
        <v>204</v>
      </c>
      <c r="AA33" s="139" t="s">
        <v>206</v>
      </c>
    </row>
    <row r="34" spans="1:27" s="113" customFormat="1" ht="14.25" customHeight="1" x14ac:dyDescent="0.3">
      <c r="A34" s="11" t="s">
        <v>176</v>
      </c>
      <c r="B34" s="10">
        <f>SUM(B6+B20)</f>
        <v>6673</v>
      </c>
      <c r="C34" s="10">
        <f t="shared" ref="C34:V40" si="4">SUM(C6+C20)</f>
        <v>890</v>
      </c>
      <c r="D34" s="10">
        <f t="shared" si="4"/>
        <v>657</v>
      </c>
      <c r="E34" s="10">
        <f t="shared" si="4"/>
        <v>798</v>
      </c>
      <c r="F34" s="10">
        <f t="shared" si="4"/>
        <v>780</v>
      </c>
      <c r="G34" s="10">
        <f t="shared" si="4"/>
        <v>1145</v>
      </c>
      <c r="H34" s="10">
        <f t="shared" si="4"/>
        <v>2959</v>
      </c>
      <c r="I34" s="10">
        <f t="shared" si="4"/>
        <v>0</v>
      </c>
      <c r="J34" s="10">
        <f t="shared" si="4"/>
        <v>7797</v>
      </c>
      <c r="K34" s="10">
        <f t="shared" si="4"/>
        <v>1434</v>
      </c>
      <c r="L34" s="10">
        <f t="shared" si="4"/>
        <v>21</v>
      </c>
      <c r="M34" s="10">
        <f t="shared" si="4"/>
        <v>84</v>
      </c>
      <c r="N34" s="10">
        <f t="shared" si="4"/>
        <v>30</v>
      </c>
      <c r="O34" s="10">
        <f t="shared" si="4"/>
        <v>0</v>
      </c>
      <c r="P34" s="10">
        <f t="shared" si="4"/>
        <v>2</v>
      </c>
      <c r="Q34" s="10">
        <f t="shared" si="4"/>
        <v>16824</v>
      </c>
      <c r="R34" s="10">
        <f t="shared" si="4"/>
        <v>6446</v>
      </c>
      <c r="S34" s="10">
        <f>SUM(S6+S20)</f>
        <v>23270</v>
      </c>
      <c r="T34" s="10">
        <f t="shared" si="4"/>
        <v>30</v>
      </c>
      <c r="U34" s="10">
        <f>SUM(U6+U20)</f>
        <v>23270</v>
      </c>
      <c r="V34" s="13">
        <f t="shared" si="4"/>
        <v>36053.5</v>
      </c>
      <c r="W34" s="1"/>
      <c r="X34" s="71">
        <v>1</v>
      </c>
      <c r="Y34" s="71" t="s">
        <v>55</v>
      </c>
      <c r="Z34" s="148">
        <f>W6</f>
        <v>0.50412581302786141</v>
      </c>
      <c r="AA34" s="148">
        <f>W20</f>
        <v>0.49587418697213864</v>
      </c>
    </row>
    <row r="35" spans="1:27" s="113" customFormat="1" x14ac:dyDescent="0.3">
      <c r="A35" s="11" t="s">
        <v>177</v>
      </c>
      <c r="B35" s="10">
        <f t="shared" ref="B35:Q40" si="5">SUM(B7+B21)</f>
        <v>4713</v>
      </c>
      <c r="C35" s="10">
        <f t="shared" si="5"/>
        <v>885</v>
      </c>
      <c r="D35" s="10">
        <f t="shared" si="5"/>
        <v>801</v>
      </c>
      <c r="E35" s="10">
        <f t="shared" si="5"/>
        <v>1006</v>
      </c>
      <c r="F35" s="10">
        <f t="shared" si="5"/>
        <v>743</v>
      </c>
      <c r="G35" s="10">
        <f t="shared" si="5"/>
        <v>1038</v>
      </c>
      <c r="H35" s="10">
        <f t="shared" si="5"/>
        <v>2933</v>
      </c>
      <c r="I35" s="10">
        <f t="shared" si="5"/>
        <v>0</v>
      </c>
      <c r="J35" s="10">
        <f t="shared" si="5"/>
        <v>5712</v>
      </c>
      <c r="K35" s="10">
        <f t="shared" si="5"/>
        <v>1086</v>
      </c>
      <c r="L35" s="10">
        <f t="shared" si="5"/>
        <v>14</v>
      </c>
      <c r="M35" s="10">
        <f t="shared" si="5"/>
        <v>105</v>
      </c>
      <c r="N35" s="10">
        <f t="shared" si="5"/>
        <v>5</v>
      </c>
      <c r="O35" s="10">
        <f t="shared" si="5"/>
        <v>2</v>
      </c>
      <c r="P35" s="10">
        <f t="shared" si="5"/>
        <v>7</v>
      </c>
      <c r="Q35" s="10">
        <f t="shared" si="5"/>
        <v>12771</v>
      </c>
      <c r="R35" s="10">
        <f t="shared" si="4"/>
        <v>6901</v>
      </c>
      <c r="S35" s="10">
        <f t="shared" si="4"/>
        <v>19672</v>
      </c>
      <c r="T35" s="10">
        <f t="shared" si="4"/>
        <v>12</v>
      </c>
      <c r="U35" s="10">
        <f>SUM(U7+U21)</f>
        <v>19672</v>
      </c>
      <c r="V35" s="13">
        <f t="shared" si="4"/>
        <v>33855</v>
      </c>
      <c r="W35" s="1"/>
      <c r="X35" s="71">
        <v>2</v>
      </c>
      <c r="Y35" s="71" t="s">
        <v>56</v>
      </c>
      <c r="Z35" s="148">
        <f t="shared" ref="Z35:Z40" si="6">W7</f>
        <v>0.50265839610101903</v>
      </c>
      <c r="AA35" s="148">
        <f t="shared" ref="AA35:AA40" si="7">W21</f>
        <v>0.49734160389898097</v>
      </c>
    </row>
    <row r="36" spans="1:27" s="113" customFormat="1" x14ac:dyDescent="0.3">
      <c r="A36" s="11" t="s">
        <v>178</v>
      </c>
      <c r="B36" s="10">
        <f>SUM(B8+B22)</f>
        <v>5397</v>
      </c>
      <c r="C36" s="10">
        <f t="shared" si="4"/>
        <v>970</v>
      </c>
      <c r="D36" s="10">
        <f t="shared" si="4"/>
        <v>791</v>
      </c>
      <c r="E36" s="10">
        <f t="shared" si="4"/>
        <v>979</v>
      </c>
      <c r="F36" s="10">
        <f t="shared" si="4"/>
        <v>671</v>
      </c>
      <c r="G36" s="10">
        <f t="shared" si="4"/>
        <v>1085</v>
      </c>
      <c r="H36" s="10">
        <f t="shared" si="4"/>
        <v>3335</v>
      </c>
      <c r="I36" s="10">
        <f t="shared" si="4"/>
        <v>0</v>
      </c>
      <c r="J36" s="10">
        <f t="shared" si="4"/>
        <v>6275</v>
      </c>
      <c r="K36" s="10">
        <f t="shared" si="4"/>
        <v>1223</v>
      </c>
      <c r="L36" s="10">
        <f t="shared" si="4"/>
        <v>30</v>
      </c>
      <c r="M36" s="10">
        <f t="shared" si="4"/>
        <v>130</v>
      </c>
      <c r="N36" s="10">
        <f t="shared" si="4"/>
        <v>4</v>
      </c>
      <c r="O36" s="10">
        <f t="shared" si="4"/>
        <v>8</v>
      </c>
      <c r="P36" s="10">
        <f t="shared" si="4"/>
        <v>4</v>
      </c>
      <c r="Q36" s="10">
        <f t="shared" si="4"/>
        <v>6965</v>
      </c>
      <c r="R36" s="10">
        <f t="shared" si="4"/>
        <v>3418</v>
      </c>
      <c r="S36" s="10">
        <f>SUM(S8+S22)</f>
        <v>10383</v>
      </c>
      <c r="T36" s="10">
        <f t="shared" si="4"/>
        <v>12</v>
      </c>
      <c r="U36" s="10">
        <f>SUM(U8+U22)</f>
        <v>20902</v>
      </c>
      <c r="V36" s="13">
        <f t="shared" si="4"/>
        <v>35868.5</v>
      </c>
      <c r="X36" s="71">
        <v>3</v>
      </c>
      <c r="Y36" s="71" t="s">
        <v>57</v>
      </c>
      <c r="Z36" s="148">
        <f t="shared" si="6"/>
        <v>0.48004516497762661</v>
      </c>
      <c r="AA36" s="148">
        <f t="shared" si="7"/>
        <v>0.51995483502237339</v>
      </c>
    </row>
    <row r="37" spans="1:27" s="113" customFormat="1" x14ac:dyDescent="0.3">
      <c r="A37" s="11" t="s">
        <v>179</v>
      </c>
      <c r="B37" s="10">
        <f t="shared" si="5"/>
        <v>5325</v>
      </c>
      <c r="C37" s="10">
        <f t="shared" si="4"/>
        <v>986</v>
      </c>
      <c r="D37" s="10">
        <f t="shared" si="4"/>
        <v>797</v>
      </c>
      <c r="E37" s="10">
        <f t="shared" si="4"/>
        <v>918</v>
      </c>
      <c r="F37" s="10">
        <f t="shared" si="4"/>
        <v>1070</v>
      </c>
      <c r="G37" s="10">
        <f t="shared" si="4"/>
        <v>1081</v>
      </c>
      <c r="H37" s="10">
        <f t="shared" si="4"/>
        <v>3071</v>
      </c>
      <c r="I37" s="10">
        <f t="shared" si="4"/>
        <v>0</v>
      </c>
      <c r="J37" s="10">
        <f t="shared" si="4"/>
        <v>6360</v>
      </c>
      <c r="K37" s="10">
        <f t="shared" si="4"/>
        <v>1232</v>
      </c>
      <c r="L37" s="10">
        <f t="shared" si="4"/>
        <v>12</v>
      </c>
      <c r="M37" s="10">
        <f t="shared" si="4"/>
        <v>83</v>
      </c>
      <c r="N37" s="10">
        <f t="shared" si="4"/>
        <v>8</v>
      </c>
      <c r="O37" s="10">
        <f t="shared" si="4"/>
        <v>4</v>
      </c>
      <c r="P37" s="10">
        <f t="shared" si="4"/>
        <v>4</v>
      </c>
      <c r="Q37" s="10">
        <f t="shared" si="4"/>
        <v>13915</v>
      </c>
      <c r="R37" s="10">
        <f t="shared" si="4"/>
        <v>7036</v>
      </c>
      <c r="S37" s="10">
        <f t="shared" si="4"/>
        <v>20951</v>
      </c>
      <c r="T37" s="10">
        <f t="shared" si="4"/>
        <v>12</v>
      </c>
      <c r="U37" s="10">
        <f t="shared" si="4"/>
        <v>20951</v>
      </c>
      <c r="V37" s="13">
        <f t="shared" si="4"/>
        <v>35563</v>
      </c>
      <c r="X37" s="71">
        <v>4</v>
      </c>
      <c r="Y37" s="71" t="s">
        <v>58</v>
      </c>
      <c r="Z37" s="148">
        <f t="shared" si="6"/>
        <v>0.52492759328515592</v>
      </c>
      <c r="AA37" s="148">
        <f t="shared" si="7"/>
        <v>0.47507240671484408</v>
      </c>
    </row>
    <row r="38" spans="1:27" s="113" customFormat="1" x14ac:dyDescent="0.3">
      <c r="A38" s="119" t="s">
        <v>180</v>
      </c>
      <c r="B38" s="10">
        <f t="shared" si="5"/>
        <v>4816</v>
      </c>
      <c r="C38" s="112">
        <f t="shared" si="4"/>
        <v>930</v>
      </c>
      <c r="D38" s="10">
        <f t="shared" si="4"/>
        <v>840</v>
      </c>
      <c r="E38" s="112">
        <f t="shared" si="4"/>
        <v>1172</v>
      </c>
      <c r="F38" s="10">
        <f t="shared" si="4"/>
        <v>887</v>
      </c>
      <c r="G38" s="10">
        <f t="shared" si="4"/>
        <v>1043</v>
      </c>
      <c r="H38" s="10">
        <f t="shared" si="4"/>
        <v>3335</v>
      </c>
      <c r="I38" s="10">
        <f t="shared" si="4"/>
        <v>0</v>
      </c>
      <c r="J38" s="10">
        <f t="shared" si="4"/>
        <v>6586</v>
      </c>
      <c r="K38" s="10">
        <f t="shared" si="4"/>
        <v>1287</v>
      </c>
      <c r="L38" s="10">
        <f t="shared" si="4"/>
        <v>5</v>
      </c>
      <c r="M38" s="10">
        <f t="shared" si="4"/>
        <v>108</v>
      </c>
      <c r="N38" s="10">
        <f t="shared" si="4"/>
        <v>4</v>
      </c>
      <c r="O38" s="112">
        <f t="shared" si="4"/>
        <v>2</v>
      </c>
      <c r="P38" s="112">
        <f t="shared" si="4"/>
        <v>12</v>
      </c>
      <c r="Q38" s="10">
        <f t="shared" si="4"/>
        <v>13625</v>
      </c>
      <c r="R38" s="10">
        <f t="shared" si="4"/>
        <v>7402</v>
      </c>
      <c r="S38" s="112">
        <f t="shared" si="4"/>
        <v>21027</v>
      </c>
      <c r="T38" s="112">
        <f t="shared" si="4"/>
        <v>6</v>
      </c>
      <c r="U38" s="112">
        <f t="shared" si="4"/>
        <v>21027</v>
      </c>
      <c r="V38" s="111">
        <f>SUM(V10+V24)</f>
        <v>36135</v>
      </c>
      <c r="W38" s="1"/>
      <c r="X38" s="71">
        <v>5</v>
      </c>
      <c r="Y38" s="71" t="s">
        <v>59</v>
      </c>
      <c r="Z38" s="148">
        <f t="shared" si="6"/>
        <v>0.49418845994188459</v>
      </c>
      <c r="AA38" s="148">
        <f t="shared" si="7"/>
        <v>0.50581154005811535</v>
      </c>
    </row>
    <row r="39" spans="1:27" s="113" customFormat="1" x14ac:dyDescent="0.3">
      <c r="A39" s="11" t="s">
        <v>181</v>
      </c>
      <c r="B39" s="10">
        <f t="shared" si="5"/>
        <v>5671</v>
      </c>
      <c r="C39" s="10">
        <f t="shared" si="4"/>
        <v>958</v>
      </c>
      <c r="D39" s="10">
        <f t="shared" si="4"/>
        <v>862</v>
      </c>
      <c r="E39" s="10">
        <f t="shared" si="4"/>
        <v>978</v>
      </c>
      <c r="F39" s="10">
        <f t="shared" si="4"/>
        <v>1005</v>
      </c>
      <c r="G39" s="10">
        <f t="shared" si="4"/>
        <v>1100</v>
      </c>
      <c r="H39" s="10">
        <f t="shared" si="4"/>
        <v>3627</v>
      </c>
      <c r="I39" s="10">
        <f t="shared" si="4"/>
        <v>0</v>
      </c>
      <c r="J39" s="10">
        <f t="shared" si="4"/>
        <v>6535</v>
      </c>
      <c r="K39" s="10">
        <f t="shared" si="4"/>
        <v>1262</v>
      </c>
      <c r="L39" s="10">
        <f t="shared" si="4"/>
        <v>15</v>
      </c>
      <c r="M39" s="10">
        <f t="shared" si="4"/>
        <v>150</v>
      </c>
      <c r="N39" s="10">
        <f t="shared" si="4"/>
        <v>16</v>
      </c>
      <c r="O39" s="10">
        <f t="shared" si="4"/>
        <v>2</v>
      </c>
      <c r="P39" s="10">
        <f t="shared" si="4"/>
        <v>14</v>
      </c>
      <c r="Q39" s="10">
        <f t="shared" si="4"/>
        <v>14444</v>
      </c>
      <c r="R39" s="10">
        <f t="shared" si="4"/>
        <v>7751</v>
      </c>
      <c r="S39" s="10">
        <f t="shared" si="4"/>
        <v>22195</v>
      </c>
      <c r="T39" s="10">
        <f t="shared" si="4"/>
        <v>18</v>
      </c>
      <c r="U39" s="10">
        <f t="shared" si="4"/>
        <v>22195</v>
      </c>
      <c r="V39" s="13">
        <f t="shared" si="4"/>
        <v>38812.5</v>
      </c>
      <c r="X39" s="71">
        <v>6</v>
      </c>
      <c r="Y39" s="71" t="s">
        <v>60</v>
      </c>
      <c r="Z39" s="148">
        <f t="shared" si="6"/>
        <v>0.49396457326892107</v>
      </c>
      <c r="AA39" s="148">
        <f t="shared" si="7"/>
        <v>0.50603542673107893</v>
      </c>
    </row>
    <row r="40" spans="1:27" s="113" customFormat="1" x14ac:dyDescent="0.3">
      <c r="A40" s="11" t="s">
        <v>182</v>
      </c>
      <c r="B40" s="10">
        <f t="shared" si="5"/>
        <v>7407</v>
      </c>
      <c r="C40" s="10">
        <f t="shared" si="4"/>
        <v>932</v>
      </c>
      <c r="D40" s="10">
        <f t="shared" si="4"/>
        <v>834</v>
      </c>
      <c r="E40" s="10">
        <f t="shared" si="4"/>
        <v>928</v>
      </c>
      <c r="F40" s="10">
        <f t="shared" si="4"/>
        <v>853</v>
      </c>
      <c r="G40" s="10">
        <f t="shared" si="4"/>
        <v>842</v>
      </c>
      <c r="H40" s="10">
        <f t="shared" si="4"/>
        <v>4496</v>
      </c>
      <c r="I40" s="10">
        <f t="shared" si="4"/>
        <v>0</v>
      </c>
      <c r="J40" s="10">
        <f t="shared" si="4"/>
        <v>8015</v>
      </c>
      <c r="K40" s="10">
        <f t="shared" si="4"/>
        <v>1193</v>
      </c>
      <c r="L40" s="10">
        <f t="shared" si="4"/>
        <v>55</v>
      </c>
      <c r="M40" s="10">
        <f t="shared" si="4"/>
        <v>130</v>
      </c>
      <c r="N40" s="10">
        <f t="shared" si="4"/>
        <v>9</v>
      </c>
      <c r="O40" s="10">
        <f t="shared" si="4"/>
        <v>0</v>
      </c>
      <c r="P40" s="10">
        <f t="shared" si="4"/>
        <v>10</v>
      </c>
      <c r="Q40" s="10">
        <f t="shared" si="4"/>
        <v>17556</v>
      </c>
      <c r="R40" s="10">
        <f t="shared" si="4"/>
        <v>8148</v>
      </c>
      <c r="S40" s="10">
        <f t="shared" si="4"/>
        <v>25704</v>
      </c>
      <c r="T40" s="10">
        <f t="shared" si="4"/>
        <v>9</v>
      </c>
      <c r="U40" s="10">
        <f t="shared" si="4"/>
        <v>25704</v>
      </c>
      <c r="V40" s="13">
        <f t="shared" si="4"/>
        <v>43663.5</v>
      </c>
      <c r="X40" s="71">
        <v>7</v>
      </c>
      <c r="Y40" s="71" t="s">
        <v>61</v>
      </c>
      <c r="Z40" s="148">
        <f t="shared" si="6"/>
        <v>0.46817135593802606</v>
      </c>
      <c r="AA40" s="148">
        <f t="shared" si="7"/>
        <v>0.53182864406197394</v>
      </c>
    </row>
    <row r="41" spans="1:27" x14ac:dyDescent="0.3">
      <c r="A41" s="117" t="s">
        <v>52</v>
      </c>
      <c r="B41" s="118">
        <f>AVERAGE(B34:B40)</f>
        <v>5714.5714285714284</v>
      </c>
      <c r="C41" s="118">
        <f t="shared" ref="C41:V41" si="8">AVERAGE(C34:C40)</f>
        <v>935.85714285714289</v>
      </c>
      <c r="D41" s="118">
        <f t="shared" si="8"/>
        <v>797.42857142857144</v>
      </c>
      <c r="E41" s="118">
        <f t="shared" si="8"/>
        <v>968.42857142857144</v>
      </c>
      <c r="F41" s="118">
        <f t="shared" si="8"/>
        <v>858.42857142857144</v>
      </c>
      <c r="G41" s="118">
        <f t="shared" si="8"/>
        <v>1047.7142857142858</v>
      </c>
      <c r="H41" s="118">
        <f t="shared" si="8"/>
        <v>3393.7142857142858</v>
      </c>
      <c r="I41" s="118">
        <f t="shared" si="8"/>
        <v>0</v>
      </c>
      <c r="J41" s="118">
        <f t="shared" si="8"/>
        <v>6754.2857142857147</v>
      </c>
      <c r="K41" s="118">
        <f t="shared" si="8"/>
        <v>1245.2857142857142</v>
      </c>
      <c r="L41" s="118">
        <f t="shared" si="8"/>
        <v>21.714285714285715</v>
      </c>
      <c r="M41" s="118">
        <f t="shared" si="8"/>
        <v>112.85714285714286</v>
      </c>
      <c r="N41" s="118">
        <f t="shared" si="8"/>
        <v>10.857142857142858</v>
      </c>
      <c r="O41" s="118">
        <f t="shared" si="8"/>
        <v>2.5714285714285716</v>
      </c>
      <c r="P41" s="118">
        <f t="shared" si="8"/>
        <v>7.5714285714285712</v>
      </c>
      <c r="Q41" s="118">
        <f t="shared" si="8"/>
        <v>13728.571428571429</v>
      </c>
      <c r="R41" s="118">
        <f t="shared" si="8"/>
        <v>6728.8571428571431</v>
      </c>
      <c r="S41" s="118">
        <f t="shared" si="8"/>
        <v>20457.428571428572</v>
      </c>
      <c r="T41" s="118">
        <f t="shared" si="8"/>
        <v>14.142857142857142</v>
      </c>
      <c r="U41" s="118">
        <f t="shared" si="8"/>
        <v>21960.142857142859</v>
      </c>
      <c r="V41" s="118">
        <f t="shared" si="8"/>
        <v>37135.857142857145</v>
      </c>
    </row>
    <row r="42" spans="1:27" x14ac:dyDescent="0.3">
      <c r="F42" s="106"/>
    </row>
    <row r="43" spans="1:27" x14ac:dyDescent="0.3">
      <c r="F43" s="106"/>
    </row>
    <row r="47" spans="1:27" x14ac:dyDescent="0.3">
      <c r="V47" s="14"/>
    </row>
  </sheetData>
  <mergeCells count="21">
    <mergeCell ref="X32:X33"/>
    <mergeCell ref="Y32:Y33"/>
    <mergeCell ref="Z32:AA32"/>
    <mergeCell ref="A1:V1"/>
    <mergeCell ref="A2:V2"/>
    <mergeCell ref="A3:V3"/>
    <mergeCell ref="A4:A5"/>
    <mergeCell ref="B4:M4"/>
    <mergeCell ref="N4:O4"/>
    <mergeCell ref="A15:V15"/>
    <mergeCell ref="A16:V16"/>
    <mergeCell ref="A17:V17"/>
    <mergeCell ref="A18:A19"/>
    <mergeCell ref="B18:M18"/>
    <mergeCell ref="N18:O18"/>
    <mergeCell ref="A29:V29"/>
    <mergeCell ref="A30:V30"/>
    <mergeCell ref="A31:V31"/>
    <mergeCell ref="A32:A33"/>
    <mergeCell ref="B32:M32"/>
    <mergeCell ref="N32:O32"/>
  </mergeCells>
  <pageMargins left="0.7" right="0.7" top="0.75" bottom="0.75" header="0.3" footer="0.3"/>
  <pageSetup orientation="portrait" horizontalDpi="429496729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11"/>
  <sheetViews>
    <sheetView zoomScale="115" zoomScaleNormal="115" workbookViewId="0">
      <selection activeCell="E17" sqref="E17"/>
    </sheetView>
  </sheetViews>
  <sheetFormatPr defaultColWidth="9.109375" defaultRowHeight="13.8" x14ac:dyDescent="0.3"/>
  <cols>
    <col min="1" max="1" width="18" style="1" bestFit="1" customWidth="1"/>
    <col min="2" max="2" width="9.109375" style="1"/>
    <col min="3" max="3" width="9.6640625" style="1" customWidth="1"/>
    <col min="4" max="4" width="9.109375" style="1"/>
    <col min="5" max="6" width="11.5546875" style="1" bestFit="1" customWidth="1"/>
    <col min="7" max="7" width="9.109375" style="1"/>
    <col min="8" max="8" width="17.88671875" style="1" bestFit="1" customWidth="1"/>
    <col min="9" max="16384" width="9.109375" style="1"/>
  </cols>
  <sheetData>
    <row r="1" spans="1:10" x14ac:dyDescent="0.3">
      <c r="A1" s="186" t="s">
        <v>167</v>
      </c>
      <c r="B1" s="187"/>
      <c r="C1" s="187"/>
      <c r="D1" s="187"/>
      <c r="E1" s="187"/>
      <c r="F1" s="187"/>
      <c r="G1" s="187"/>
      <c r="H1" s="187"/>
    </row>
    <row r="2" spans="1:10" x14ac:dyDescent="0.3">
      <c r="A2" s="135" t="s">
        <v>168</v>
      </c>
      <c r="B2" s="135" t="s">
        <v>169</v>
      </c>
      <c r="C2" s="135" t="s">
        <v>66</v>
      </c>
      <c r="D2" s="135" t="s">
        <v>170</v>
      </c>
      <c r="E2" s="135" t="s">
        <v>171</v>
      </c>
      <c r="F2" s="135" t="s">
        <v>172</v>
      </c>
      <c r="G2" s="135" t="s">
        <v>107</v>
      </c>
      <c r="H2" s="135" t="s">
        <v>173</v>
      </c>
    </row>
    <row r="3" spans="1:10" x14ac:dyDescent="0.3">
      <c r="A3" s="115" t="s">
        <v>239</v>
      </c>
      <c r="B3" s="115">
        <v>2023</v>
      </c>
      <c r="C3" s="115">
        <f>ADT!E55</f>
        <v>974.28571428571433</v>
      </c>
      <c r="D3" s="115">
        <f>ADT!C55</f>
        <v>941.28571428571433</v>
      </c>
      <c r="E3" s="115">
        <f>ADT!F55</f>
        <v>862.85714285714289</v>
      </c>
      <c r="F3" s="115">
        <f>ADT!G55</f>
        <v>1053.8571428571429</v>
      </c>
      <c r="G3" s="115">
        <f>ADT!H55</f>
        <v>3406.4285714285716</v>
      </c>
      <c r="H3" s="115">
        <f>ADT!I55</f>
        <v>0</v>
      </c>
    </row>
    <row r="4" spans="1:10" x14ac:dyDescent="0.3">
      <c r="A4" s="8"/>
      <c r="B4" s="8"/>
      <c r="C4" s="8"/>
      <c r="D4" s="8"/>
      <c r="E4" s="8"/>
      <c r="F4" s="8"/>
      <c r="G4" s="8"/>
      <c r="H4" s="8"/>
    </row>
    <row r="5" spans="1:10" x14ac:dyDescent="0.3">
      <c r="A5" s="8"/>
      <c r="B5" s="8"/>
      <c r="C5" s="8"/>
      <c r="D5" s="8"/>
      <c r="E5" s="8"/>
      <c r="F5" s="8"/>
      <c r="G5" s="8"/>
      <c r="H5" s="8"/>
    </row>
    <row r="6" spans="1:10" x14ac:dyDescent="0.3">
      <c r="A6" s="188" t="s">
        <v>174</v>
      </c>
      <c r="B6" s="188"/>
      <c r="C6" s="188"/>
      <c r="D6" s="188"/>
      <c r="E6" s="188"/>
      <c r="F6" s="188"/>
      <c r="G6" s="188"/>
      <c r="H6" s="188"/>
    </row>
    <row r="7" spans="1:10" x14ac:dyDescent="0.3">
      <c r="A7" s="134" t="s">
        <v>168</v>
      </c>
      <c r="B7" s="134" t="s">
        <v>169</v>
      </c>
      <c r="C7" s="134" t="s">
        <v>66</v>
      </c>
      <c r="D7" s="134" t="s">
        <v>170</v>
      </c>
      <c r="E7" s="134" t="s">
        <v>171</v>
      </c>
      <c r="F7" s="134" t="s">
        <v>172</v>
      </c>
      <c r="G7" s="134" t="s">
        <v>107</v>
      </c>
      <c r="H7" s="134" t="s">
        <v>173</v>
      </c>
    </row>
    <row r="8" spans="1:10" x14ac:dyDescent="0.3">
      <c r="A8" s="115" t="str">
        <f>A3</f>
        <v>Nathavalasa Toll Plaza</v>
      </c>
      <c r="B8" s="115">
        <v>2023</v>
      </c>
      <c r="C8" s="115">
        <f>ADT!E56</f>
        <v>1023.0000000000001</v>
      </c>
      <c r="D8" s="115">
        <f>ADT!C56</f>
        <v>875.39571428571435</v>
      </c>
      <c r="E8" s="115">
        <f>ADT!F56</f>
        <v>906.00000000000011</v>
      </c>
      <c r="F8" s="115">
        <f>ADT!G56</f>
        <v>1106.5500000000002</v>
      </c>
      <c r="G8" s="115">
        <f>ADT!H56</f>
        <v>3576.7500000000005</v>
      </c>
      <c r="H8" s="115">
        <f>ADT!I56</f>
        <v>0</v>
      </c>
    </row>
    <row r="11" spans="1:10" x14ac:dyDescent="0.3">
      <c r="J11" s="25"/>
    </row>
  </sheetData>
  <mergeCells count="2">
    <mergeCell ref="A1:H1"/>
    <mergeCell ref="A6:H6"/>
  </mergeCells>
  <pageMargins left="0.7" right="0.7" top="0.75" bottom="0.75" header="0.3" footer="0.3"/>
  <pageSetup orientation="portrait" horizontalDpi="4294967292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37"/>
  <sheetViews>
    <sheetView topLeftCell="A19" zoomScale="91" zoomScaleNormal="91" workbookViewId="0">
      <selection activeCell="B12" sqref="B12"/>
    </sheetView>
  </sheetViews>
  <sheetFormatPr defaultColWidth="9.109375" defaultRowHeight="13.8" x14ac:dyDescent="0.3"/>
  <cols>
    <col min="1" max="1" width="27.88671875" style="1" bestFit="1" customWidth="1"/>
    <col min="2" max="2" width="29" style="1" bestFit="1" customWidth="1"/>
    <col min="3" max="4" width="9.109375" style="1"/>
    <col min="5" max="5" width="17.109375" style="1" customWidth="1"/>
    <col min="6" max="6" width="47.44140625" style="1" customWidth="1"/>
    <col min="7" max="11" width="9.109375" style="1"/>
    <col min="12" max="13" width="10" style="1" bestFit="1" customWidth="1"/>
    <col min="14" max="14" width="11" style="1" bestFit="1" customWidth="1"/>
    <col min="15" max="16384" width="9.109375" style="1"/>
  </cols>
  <sheetData>
    <row r="1" spans="1:10" x14ac:dyDescent="0.3">
      <c r="A1" s="1" t="s">
        <v>110</v>
      </c>
      <c r="B1" s="1" t="s">
        <v>111</v>
      </c>
      <c r="E1" s="2" t="s">
        <v>134</v>
      </c>
      <c r="F1" s="3" t="s">
        <v>122</v>
      </c>
    </row>
    <row r="2" spans="1:10" ht="27.6" x14ac:dyDescent="0.3">
      <c r="A2" s="1" t="s">
        <v>112</v>
      </c>
      <c r="B2" s="1" t="s">
        <v>113</v>
      </c>
      <c r="E2" s="2" t="s">
        <v>135</v>
      </c>
      <c r="F2" s="3" t="s">
        <v>145</v>
      </c>
    </row>
    <row r="3" spans="1:10" ht="27.6" x14ac:dyDescent="0.3">
      <c r="A3" s="1" t="s">
        <v>114</v>
      </c>
      <c r="B3" s="1" t="s">
        <v>129</v>
      </c>
      <c r="E3" s="4" t="s">
        <v>130</v>
      </c>
      <c r="F3" s="3" t="s">
        <v>131</v>
      </c>
    </row>
    <row r="4" spans="1:10" x14ac:dyDescent="0.3">
      <c r="A4" s="1" t="s">
        <v>115</v>
      </c>
      <c r="B4" s="1" t="s">
        <v>116</v>
      </c>
      <c r="E4" s="2" t="s">
        <v>136</v>
      </c>
      <c r="F4" s="3" t="s">
        <v>124</v>
      </c>
    </row>
    <row r="5" spans="1:10" x14ac:dyDescent="0.3">
      <c r="A5" s="1" t="s">
        <v>117</v>
      </c>
      <c r="B5" s="1" t="s">
        <v>118</v>
      </c>
      <c r="E5" s="2" t="s">
        <v>137</v>
      </c>
      <c r="F5" s="3" t="s">
        <v>129</v>
      </c>
    </row>
    <row r="6" spans="1:10" x14ac:dyDescent="0.3">
      <c r="A6" s="1" t="s">
        <v>119</v>
      </c>
      <c r="B6" s="1" t="s">
        <v>120</v>
      </c>
      <c r="E6" s="2" t="s">
        <v>138</v>
      </c>
      <c r="F6" s="3" t="s">
        <v>147</v>
      </c>
    </row>
    <row r="7" spans="1:10" ht="27.6" x14ac:dyDescent="0.3">
      <c r="A7" s="1" t="s">
        <v>130</v>
      </c>
      <c r="B7" s="5" t="s">
        <v>131</v>
      </c>
      <c r="E7" s="2" t="s">
        <v>139</v>
      </c>
      <c r="F7" s="3" t="s">
        <v>140</v>
      </c>
    </row>
    <row r="8" spans="1:10" ht="27.6" x14ac:dyDescent="0.3">
      <c r="A8" s="1" t="s">
        <v>121</v>
      </c>
      <c r="B8" s="1" t="s">
        <v>122</v>
      </c>
      <c r="E8" s="2" t="s">
        <v>141</v>
      </c>
      <c r="F8" s="3" t="s">
        <v>148</v>
      </c>
    </row>
    <row r="9" spans="1:10" ht="41.4" x14ac:dyDescent="0.3">
      <c r="A9" s="1" t="s">
        <v>123</v>
      </c>
      <c r="B9" s="1" t="s">
        <v>124</v>
      </c>
      <c r="E9" s="2" t="s">
        <v>142</v>
      </c>
      <c r="F9" s="3" t="s">
        <v>144</v>
      </c>
    </row>
    <row r="10" spans="1:10" ht="55.2" x14ac:dyDescent="0.3">
      <c r="A10" s="1" t="s">
        <v>125</v>
      </c>
      <c r="B10" s="5" t="s">
        <v>132</v>
      </c>
      <c r="E10" s="2" t="s">
        <v>143</v>
      </c>
      <c r="F10" s="3" t="s">
        <v>146</v>
      </c>
    </row>
    <row r="11" spans="1:10" ht="27.6" x14ac:dyDescent="0.3">
      <c r="A11" s="5" t="s">
        <v>126</v>
      </c>
      <c r="B11" s="5" t="s">
        <v>133</v>
      </c>
    </row>
    <row r="12" spans="1:10" x14ac:dyDescent="0.3">
      <c r="A12" s="1" t="s">
        <v>127</v>
      </c>
      <c r="B12" s="1" t="s">
        <v>128</v>
      </c>
      <c r="J12" s="25"/>
    </row>
    <row r="13" spans="1:10" ht="12.75" customHeight="1" x14ac:dyDescent="0.3"/>
    <row r="19" spans="2:6" x14ac:dyDescent="0.3">
      <c r="B19" s="6"/>
    </row>
    <row r="21" spans="2:6" x14ac:dyDescent="0.3">
      <c r="E21" s="2" t="s">
        <v>149</v>
      </c>
      <c r="F21" s="2" t="s">
        <v>150</v>
      </c>
    </row>
    <row r="22" spans="2:6" x14ac:dyDescent="0.3">
      <c r="E22" s="7" t="s">
        <v>151</v>
      </c>
      <c r="F22" s="7">
        <v>0.5</v>
      </c>
    </row>
    <row r="23" spans="2:6" ht="27.6" x14ac:dyDescent="0.3">
      <c r="E23" s="7" t="s">
        <v>152</v>
      </c>
      <c r="F23" s="7">
        <v>1</v>
      </c>
    </row>
    <row r="24" spans="2:6" x14ac:dyDescent="0.3">
      <c r="E24" s="7" t="s">
        <v>71</v>
      </c>
      <c r="F24" s="7">
        <v>1</v>
      </c>
    </row>
    <row r="25" spans="2:6" ht="27.6" x14ac:dyDescent="0.3">
      <c r="E25" s="7" t="s">
        <v>153</v>
      </c>
      <c r="F25" s="7">
        <v>1.5</v>
      </c>
    </row>
    <row r="26" spans="2:6" ht="27.6" x14ac:dyDescent="0.3">
      <c r="E26" s="7" t="s">
        <v>154</v>
      </c>
      <c r="F26" s="7">
        <v>3</v>
      </c>
    </row>
    <row r="27" spans="2:6" x14ac:dyDescent="0.3">
      <c r="E27" s="7" t="s">
        <v>155</v>
      </c>
      <c r="F27" s="7">
        <v>1</v>
      </c>
    </row>
    <row r="28" spans="2:6" ht="27.6" x14ac:dyDescent="0.3">
      <c r="E28" s="7" t="s">
        <v>156</v>
      </c>
      <c r="F28" s="7">
        <v>1.5</v>
      </c>
    </row>
    <row r="29" spans="2:6" x14ac:dyDescent="0.3">
      <c r="E29" s="7" t="s">
        <v>157</v>
      </c>
      <c r="F29" s="7">
        <v>3</v>
      </c>
    </row>
    <row r="30" spans="2:6" x14ac:dyDescent="0.3">
      <c r="E30" s="7" t="s">
        <v>158</v>
      </c>
      <c r="F30" s="7">
        <v>3</v>
      </c>
    </row>
    <row r="31" spans="2:6" ht="27.6" x14ac:dyDescent="0.3">
      <c r="E31" s="7" t="s">
        <v>159</v>
      </c>
      <c r="F31" s="7">
        <v>4.5</v>
      </c>
    </row>
    <row r="32" spans="2:6" x14ac:dyDescent="0.3">
      <c r="E32" s="7" t="s">
        <v>160</v>
      </c>
      <c r="F32" s="7">
        <v>1.5</v>
      </c>
    </row>
    <row r="33" spans="5:6" ht="27.6" x14ac:dyDescent="0.3">
      <c r="E33" s="7" t="s">
        <v>161</v>
      </c>
      <c r="F33" s="7">
        <v>4.5</v>
      </c>
    </row>
    <row r="34" spans="5:6" ht="82.8" x14ac:dyDescent="0.3">
      <c r="E34" s="7" t="s">
        <v>162</v>
      </c>
      <c r="F34" s="7">
        <v>4.5</v>
      </c>
    </row>
    <row r="35" spans="5:6" x14ac:dyDescent="0.3">
      <c r="E35" s="7" t="s">
        <v>64</v>
      </c>
      <c r="F35" s="7">
        <v>0.5</v>
      </c>
    </row>
    <row r="36" spans="5:6" x14ac:dyDescent="0.3">
      <c r="E36" s="7" t="s">
        <v>163</v>
      </c>
      <c r="F36" s="7">
        <v>2</v>
      </c>
    </row>
    <row r="37" spans="5:6" x14ac:dyDescent="0.3">
      <c r="E37" s="7" t="s">
        <v>164</v>
      </c>
      <c r="F37" s="7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T40"/>
  <sheetViews>
    <sheetView zoomScale="96" zoomScaleNormal="96" workbookViewId="0">
      <selection activeCell="I28" sqref="I28:O30"/>
    </sheetView>
  </sheetViews>
  <sheetFormatPr defaultRowHeight="13.2" x14ac:dyDescent="0.25"/>
  <cols>
    <col min="3" max="3" width="12.109375" customWidth="1"/>
    <col min="4" max="4" width="19.6640625" customWidth="1"/>
    <col min="5" max="5" width="20.33203125" customWidth="1"/>
    <col min="6" max="6" width="19.109375" customWidth="1"/>
    <col min="9" max="9" width="17.5546875" customWidth="1"/>
    <col min="10" max="10" width="13.33203125" customWidth="1"/>
    <col min="11" max="11" width="14.88671875" customWidth="1"/>
    <col min="12" max="12" width="13.33203125" customWidth="1"/>
    <col min="13" max="13" width="9.88671875" customWidth="1"/>
    <col min="14" max="14" width="10" customWidth="1"/>
    <col min="15" max="15" width="13.6640625" customWidth="1"/>
    <col min="16" max="16" width="12.109375" customWidth="1"/>
    <col min="17" max="17" width="11.109375" customWidth="1"/>
    <col min="18" max="18" width="11.44140625" customWidth="1"/>
    <col min="19" max="19" width="10" customWidth="1"/>
  </cols>
  <sheetData>
    <row r="2" spans="3:20" x14ac:dyDescent="0.25">
      <c r="I2" s="192" t="s">
        <v>186</v>
      </c>
      <c r="J2" s="192"/>
      <c r="K2" s="192"/>
      <c r="L2" s="192"/>
      <c r="M2" s="192"/>
    </row>
    <row r="3" spans="3:20" x14ac:dyDescent="0.25">
      <c r="I3" s="193"/>
      <c r="J3" s="193"/>
      <c r="K3" s="193"/>
      <c r="L3" s="193"/>
      <c r="M3" s="193"/>
    </row>
    <row r="4" spans="3:20" ht="75.75" customHeight="1" x14ac:dyDescent="0.25">
      <c r="C4" s="69" t="s">
        <v>35</v>
      </c>
      <c r="D4" s="70" t="s">
        <v>71</v>
      </c>
      <c r="E4" s="70" t="s">
        <v>79</v>
      </c>
      <c r="F4" s="70" t="s">
        <v>65</v>
      </c>
      <c r="G4" s="70" t="s">
        <v>66</v>
      </c>
      <c r="H4" s="70" t="s">
        <v>72</v>
      </c>
      <c r="I4" s="70" t="s">
        <v>73</v>
      </c>
      <c r="J4" s="70" t="s">
        <v>74</v>
      </c>
      <c r="K4" s="70" t="s">
        <v>82</v>
      </c>
      <c r="L4" s="70" t="s">
        <v>67</v>
      </c>
      <c r="M4" s="70" t="s">
        <v>68</v>
      </c>
      <c r="N4" s="70" t="s">
        <v>69</v>
      </c>
      <c r="O4" s="70" t="s">
        <v>70</v>
      </c>
      <c r="P4" s="70" t="s">
        <v>64</v>
      </c>
      <c r="Q4" s="70" t="s">
        <v>75</v>
      </c>
      <c r="R4" s="70" t="s">
        <v>76</v>
      </c>
      <c r="S4" s="70" t="s">
        <v>21</v>
      </c>
      <c r="T4" s="70" t="s">
        <v>22</v>
      </c>
    </row>
    <row r="5" spans="3:20" x14ac:dyDescent="0.25">
      <c r="C5" s="67" t="s">
        <v>176</v>
      </c>
      <c r="D5" s="68">
        <f>ADT!B48</f>
        <v>6673</v>
      </c>
      <c r="E5" s="68">
        <f>ADT!C48</f>
        <v>890</v>
      </c>
      <c r="F5" s="68">
        <f>ADT!D48</f>
        <v>657</v>
      </c>
      <c r="G5" s="68">
        <f>ADT!E48</f>
        <v>798</v>
      </c>
      <c r="H5" s="68">
        <f>ADT!F48</f>
        <v>780</v>
      </c>
      <c r="I5" s="68">
        <f>ADT!G48</f>
        <v>1145</v>
      </c>
      <c r="J5" s="68">
        <f>ADT!H48</f>
        <v>2959</v>
      </c>
      <c r="K5" s="68">
        <f>ADT!I48</f>
        <v>0</v>
      </c>
      <c r="L5" s="68">
        <f>ADT!J48</f>
        <v>7797</v>
      </c>
      <c r="M5" s="68">
        <f>ADT!K48</f>
        <v>1434</v>
      </c>
      <c r="N5" s="68">
        <f>ADT!L48</f>
        <v>21</v>
      </c>
      <c r="O5" s="68">
        <f>ADT!M48</f>
        <v>84</v>
      </c>
      <c r="P5" s="68">
        <f>ADT!N48</f>
        <v>30</v>
      </c>
      <c r="Q5" s="68">
        <f>ADT!O48</f>
        <v>0</v>
      </c>
      <c r="R5" s="68">
        <f>ADT!P48</f>
        <v>2</v>
      </c>
      <c r="S5" s="68">
        <f>ADT!U48</f>
        <v>23270</v>
      </c>
      <c r="T5" s="68">
        <f>ADT!V48</f>
        <v>36053.5</v>
      </c>
    </row>
    <row r="6" spans="3:20" x14ac:dyDescent="0.25">
      <c r="C6" s="67" t="s">
        <v>185</v>
      </c>
      <c r="D6" s="68">
        <f>ADT!B49</f>
        <v>4853</v>
      </c>
      <c r="E6" s="68">
        <f>ADT!C49</f>
        <v>923</v>
      </c>
      <c r="F6" s="68">
        <f>ADT!D49</f>
        <v>833</v>
      </c>
      <c r="G6" s="68">
        <f>ADT!E49</f>
        <v>1047</v>
      </c>
      <c r="H6" s="68">
        <f>ADT!F49</f>
        <v>774</v>
      </c>
      <c r="I6" s="68">
        <f>ADT!G49</f>
        <v>1081</v>
      </c>
      <c r="J6" s="68">
        <f>ADT!H49</f>
        <v>3022</v>
      </c>
      <c r="K6" s="68">
        <f>ADT!I49</f>
        <v>0</v>
      </c>
      <c r="L6" s="68">
        <f>ADT!J49</f>
        <v>5859</v>
      </c>
      <c r="M6" s="68">
        <f>ADT!K49</f>
        <v>1124</v>
      </c>
      <c r="N6" s="68">
        <f>ADT!L49</f>
        <v>15</v>
      </c>
      <c r="O6" s="68">
        <f>ADT!M49</f>
        <v>120</v>
      </c>
      <c r="P6" s="68">
        <f>ADT!N49</f>
        <v>10</v>
      </c>
      <c r="Q6" s="68">
        <f>ADT!O49</f>
        <v>2</v>
      </c>
      <c r="R6" s="68">
        <f>ADT!P49</f>
        <v>9</v>
      </c>
      <c r="S6" s="68">
        <f>ADT!U49</f>
        <v>19672</v>
      </c>
      <c r="T6" s="68">
        <f>ADT!V49</f>
        <v>33855</v>
      </c>
    </row>
    <row r="7" spans="3:20" x14ac:dyDescent="0.25">
      <c r="C7" s="67" t="s">
        <v>178</v>
      </c>
      <c r="D7" s="68">
        <f>ADT!B50</f>
        <v>5397</v>
      </c>
      <c r="E7" s="68">
        <f>ADT!C50</f>
        <v>970</v>
      </c>
      <c r="F7" s="68">
        <f>ADT!D50</f>
        <v>791</v>
      </c>
      <c r="G7" s="68">
        <f>ADT!E50</f>
        <v>979</v>
      </c>
      <c r="H7" s="68">
        <f>ADT!F50</f>
        <v>671</v>
      </c>
      <c r="I7" s="68">
        <f>ADT!G50</f>
        <v>1085</v>
      </c>
      <c r="J7" s="68">
        <f>ADT!H50</f>
        <v>3335</v>
      </c>
      <c r="K7" s="68">
        <f>ADT!I50</f>
        <v>0</v>
      </c>
      <c r="L7" s="68">
        <f>ADT!J50</f>
        <v>6275</v>
      </c>
      <c r="M7" s="68">
        <f>ADT!K50</f>
        <v>1223</v>
      </c>
      <c r="N7" s="68">
        <f>ADT!L50</f>
        <v>30</v>
      </c>
      <c r="O7" s="68">
        <f>ADT!M50</f>
        <v>130</v>
      </c>
      <c r="P7" s="68">
        <f>ADT!N50</f>
        <v>4</v>
      </c>
      <c r="Q7" s="68">
        <f>ADT!O50</f>
        <v>8</v>
      </c>
      <c r="R7" s="68">
        <f>ADT!P50</f>
        <v>4</v>
      </c>
      <c r="S7" s="68">
        <f>ADT!U50</f>
        <v>20902</v>
      </c>
      <c r="T7" s="68">
        <f>ADT!V50</f>
        <v>35868.5</v>
      </c>
    </row>
    <row r="8" spans="3:20" x14ac:dyDescent="0.25">
      <c r="C8" s="67" t="s">
        <v>179</v>
      </c>
      <c r="D8" s="68">
        <f>ADT!B51</f>
        <v>5325</v>
      </c>
      <c r="E8" s="68">
        <f>ADT!C51</f>
        <v>986</v>
      </c>
      <c r="F8" s="68">
        <f>ADT!D51</f>
        <v>797</v>
      </c>
      <c r="G8" s="68">
        <f>ADT!E51</f>
        <v>918</v>
      </c>
      <c r="H8" s="68">
        <f>ADT!F51</f>
        <v>1070</v>
      </c>
      <c r="I8" s="68">
        <f>ADT!G51</f>
        <v>1081</v>
      </c>
      <c r="J8" s="68">
        <f>ADT!H51</f>
        <v>3071</v>
      </c>
      <c r="K8" s="68">
        <f>ADT!I51</f>
        <v>0</v>
      </c>
      <c r="L8" s="68">
        <f>ADT!J51</f>
        <v>6360</v>
      </c>
      <c r="M8" s="68">
        <f>ADT!K51</f>
        <v>1232</v>
      </c>
      <c r="N8" s="68">
        <f>ADT!L51</f>
        <v>12</v>
      </c>
      <c r="O8" s="68">
        <f>ADT!M51</f>
        <v>83</v>
      </c>
      <c r="P8" s="68">
        <f>ADT!N51</f>
        <v>8</v>
      </c>
      <c r="Q8" s="68">
        <f>ADT!O51</f>
        <v>4</v>
      </c>
      <c r="R8" s="68">
        <f>ADT!P51</f>
        <v>4</v>
      </c>
      <c r="S8" s="68">
        <f>ADT!U51</f>
        <v>20951</v>
      </c>
      <c r="T8" s="68">
        <f>ADT!V51</f>
        <v>35563</v>
      </c>
    </row>
    <row r="9" spans="3:20" x14ac:dyDescent="0.25">
      <c r="C9" s="67" t="s">
        <v>180</v>
      </c>
      <c r="D9" s="68">
        <f>ADT!B52</f>
        <v>4816</v>
      </c>
      <c r="E9" s="68">
        <f>ADT!C52</f>
        <v>930</v>
      </c>
      <c r="F9" s="68">
        <f>ADT!D52</f>
        <v>840</v>
      </c>
      <c r="G9" s="68">
        <f>ADT!E52</f>
        <v>1172</v>
      </c>
      <c r="H9" s="68">
        <f>ADT!F52</f>
        <v>887</v>
      </c>
      <c r="I9" s="68">
        <f>ADT!G52</f>
        <v>1043</v>
      </c>
      <c r="J9" s="68">
        <f>ADT!H52</f>
        <v>3335</v>
      </c>
      <c r="K9" s="68">
        <f>ADT!I52</f>
        <v>0</v>
      </c>
      <c r="L9" s="68">
        <f>ADT!J52</f>
        <v>6586</v>
      </c>
      <c r="M9" s="68">
        <f>ADT!K52</f>
        <v>1287</v>
      </c>
      <c r="N9" s="68">
        <f>ADT!L52</f>
        <v>5</v>
      </c>
      <c r="O9" s="68">
        <f>ADT!M52</f>
        <v>108</v>
      </c>
      <c r="P9" s="68">
        <f>ADT!N52</f>
        <v>4</v>
      </c>
      <c r="Q9" s="68">
        <f>ADT!O52</f>
        <v>2</v>
      </c>
      <c r="R9" s="68">
        <f>ADT!P52</f>
        <v>12</v>
      </c>
      <c r="S9" s="68">
        <f>ADT!U52</f>
        <v>21027</v>
      </c>
      <c r="T9" s="68">
        <f>ADT!V52</f>
        <v>36135</v>
      </c>
    </row>
    <row r="10" spans="3:20" x14ac:dyDescent="0.25">
      <c r="C10" s="67" t="s">
        <v>181</v>
      </c>
      <c r="D10" s="68">
        <f>ADT!B53</f>
        <v>5671</v>
      </c>
      <c r="E10" s="68">
        <f>ADT!C53</f>
        <v>958</v>
      </c>
      <c r="F10" s="68">
        <f>ADT!D53</f>
        <v>862</v>
      </c>
      <c r="G10" s="68">
        <f>ADT!E53</f>
        <v>978</v>
      </c>
      <c r="H10" s="68">
        <f>ADT!F53</f>
        <v>1005</v>
      </c>
      <c r="I10" s="68">
        <f>ADT!G53</f>
        <v>1100</v>
      </c>
      <c r="J10" s="68">
        <f>ADT!H53</f>
        <v>3627</v>
      </c>
      <c r="K10" s="68">
        <f>ADT!I53</f>
        <v>0</v>
      </c>
      <c r="L10" s="68">
        <f>ADT!J53</f>
        <v>6535</v>
      </c>
      <c r="M10" s="68">
        <f>ADT!K53</f>
        <v>1262</v>
      </c>
      <c r="N10" s="68">
        <f>ADT!L53</f>
        <v>15</v>
      </c>
      <c r="O10" s="68">
        <f>ADT!M53</f>
        <v>150</v>
      </c>
      <c r="P10" s="68">
        <f>ADT!N53</f>
        <v>16</v>
      </c>
      <c r="Q10" s="68">
        <f>ADT!O53</f>
        <v>2</v>
      </c>
      <c r="R10" s="68">
        <f>ADT!P53</f>
        <v>14</v>
      </c>
      <c r="S10" s="68">
        <f>ADT!U53</f>
        <v>22195</v>
      </c>
      <c r="T10" s="68">
        <f>ADT!V53</f>
        <v>38812.5</v>
      </c>
    </row>
    <row r="11" spans="3:20" x14ac:dyDescent="0.25">
      <c r="C11" s="67" t="s">
        <v>182</v>
      </c>
      <c r="D11" s="68">
        <f>ADT!B54</f>
        <v>7407</v>
      </c>
      <c r="E11" s="68">
        <f>ADT!C54</f>
        <v>932</v>
      </c>
      <c r="F11" s="68">
        <f>ADT!D54</f>
        <v>834</v>
      </c>
      <c r="G11" s="68">
        <f>ADT!E54</f>
        <v>928</v>
      </c>
      <c r="H11" s="68">
        <f>ADT!F54</f>
        <v>853</v>
      </c>
      <c r="I11" s="68">
        <f>ADT!G54</f>
        <v>842</v>
      </c>
      <c r="J11" s="68">
        <f>ADT!H54</f>
        <v>4496</v>
      </c>
      <c r="K11" s="68">
        <f>ADT!I54</f>
        <v>0</v>
      </c>
      <c r="L11" s="68">
        <f>ADT!J54</f>
        <v>8015</v>
      </c>
      <c r="M11" s="68">
        <f>ADT!K54</f>
        <v>1193</v>
      </c>
      <c r="N11" s="68">
        <f>ADT!L54</f>
        <v>55</v>
      </c>
      <c r="O11" s="68">
        <f>ADT!M54</f>
        <v>130</v>
      </c>
      <c r="P11" s="68">
        <f>ADT!N54</f>
        <v>9</v>
      </c>
      <c r="Q11" s="68">
        <f>ADT!O54</f>
        <v>0</v>
      </c>
      <c r="R11" s="68">
        <f>ADT!P54</f>
        <v>10</v>
      </c>
      <c r="S11" s="68">
        <f>ADT!U54</f>
        <v>25704</v>
      </c>
      <c r="T11" s="68">
        <f>ADT!V54</f>
        <v>43663.5</v>
      </c>
    </row>
    <row r="14" spans="3:20" x14ac:dyDescent="0.25">
      <c r="D14" s="197" t="s">
        <v>189</v>
      </c>
      <c r="E14" s="198"/>
      <c r="J14" s="191" t="s">
        <v>191</v>
      </c>
      <c r="K14" s="191"/>
    </row>
    <row r="15" spans="3:20" ht="26.4" x14ac:dyDescent="0.25">
      <c r="C15" s="102" t="s">
        <v>187</v>
      </c>
      <c r="D15" s="74" t="s">
        <v>188</v>
      </c>
      <c r="E15" s="74" t="s">
        <v>187</v>
      </c>
      <c r="F15" s="74" t="s">
        <v>188</v>
      </c>
      <c r="I15" s="73" t="s">
        <v>149</v>
      </c>
      <c r="J15" s="73" t="s">
        <v>190</v>
      </c>
      <c r="K15" s="73" t="s">
        <v>149</v>
      </c>
      <c r="L15" s="74" t="s">
        <v>190</v>
      </c>
    </row>
    <row r="16" spans="3:20" ht="26.4" x14ac:dyDescent="0.25">
      <c r="C16" s="75" t="s">
        <v>71</v>
      </c>
      <c r="D16" s="82">
        <f>ADT!B$55</f>
        <v>5734.5714285714284</v>
      </c>
      <c r="E16" s="75" t="s">
        <v>68</v>
      </c>
      <c r="F16" s="82">
        <f>ADT!K55</f>
        <v>1250.7142857142858</v>
      </c>
      <c r="I16" s="71" t="s">
        <v>71</v>
      </c>
      <c r="J16" s="72">
        <f>Charts!C62</f>
        <v>0.26122889904077673</v>
      </c>
      <c r="K16" s="75" t="s">
        <v>74</v>
      </c>
      <c r="L16" s="72">
        <f>Charts!C68</f>
        <v>0.15517420899873752</v>
      </c>
    </row>
    <row r="17" spans="3:19" x14ac:dyDescent="0.25">
      <c r="C17" s="75" t="s">
        <v>79</v>
      </c>
      <c r="D17" s="82">
        <f>ADT!C55</f>
        <v>941.28571428571433</v>
      </c>
      <c r="E17" s="75" t="s">
        <v>69</v>
      </c>
      <c r="F17" s="82">
        <f>ADT!L55</f>
        <v>21.857142857142858</v>
      </c>
      <c r="I17" s="71" t="s">
        <v>79</v>
      </c>
      <c r="J17" s="72">
        <f>Charts!C63</f>
        <v>4.2878710970546512E-2</v>
      </c>
      <c r="K17" s="75" t="s">
        <v>67</v>
      </c>
      <c r="L17" s="72">
        <f>Charts!C69</f>
        <v>0.30863691382609038</v>
      </c>
    </row>
    <row r="18" spans="3:19" ht="25.5" customHeight="1" x14ac:dyDescent="0.25">
      <c r="C18" s="75" t="s">
        <v>65</v>
      </c>
      <c r="D18" s="82">
        <f>ADT!D55</f>
        <v>802</v>
      </c>
      <c r="E18" s="75" t="s">
        <v>70</v>
      </c>
      <c r="F18" s="82">
        <f>ADT!M55</f>
        <v>115</v>
      </c>
      <c r="I18" s="71" t="s">
        <v>65</v>
      </c>
      <c r="J18" s="72">
        <f>Charts!C64</f>
        <v>3.6533781057618474E-2</v>
      </c>
      <c r="K18" s="75" t="s">
        <v>68</v>
      </c>
      <c r="L18" s="72">
        <f>Charts!C70</f>
        <v>5.6974216807882033E-2</v>
      </c>
    </row>
    <row r="19" spans="3:19" x14ac:dyDescent="0.25">
      <c r="C19" s="75" t="s">
        <v>66</v>
      </c>
      <c r="D19" s="82">
        <f>ADT!E55</f>
        <v>974.28571428571433</v>
      </c>
      <c r="E19" s="75" t="s">
        <v>64</v>
      </c>
      <c r="F19" s="82">
        <f>ADT!N55</f>
        <v>11.571428571428571</v>
      </c>
      <c r="I19" s="71" t="s">
        <v>66</v>
      </c>
      <c r="J19" s="72">
        <f>Charts!C65</f>
        <v>4.4381971288378688E-2</v>
      </c>
      <c r="K19" s="75" t="s">
        <v>69</v>
      </c>
      <c r="L19" s="72">
        <f>Charts!C71</f>
        <v>9.9566592479793849E-4</v>
      </c>
    </row>
    <row r="20" spans="3:19" ht="26.4" x14ac:dyDescent="0.25">
      <c r="C20" s="75" t="s">
        <v>72</v>
      </c>
      <c r="D20" s="82">
        <f>ADT!F$55</f>
        <v>862.85714285714289</v>
      </c>
      <c r="E20" s="75" t="s">
        <v>75</v>
      </c>
      <c r="F20" s="82">
        <f>ADT!O55</f>
        <v>2.5714285714285716</v>
      </c>
      <c r="I20" s="71" t="s">
        <v>72</v>
      </c>
      <c r="J20" s="72">
        <f>Charts!C66</f>
        <v>3.9306027358036261E-2</v>
      </c>
      <c r="K20" s="75" t="s">
        <v>70</v>
      </c>
      <c r="L20" s="72">
        <f>Charts!C72</f>
        <v>5.2386344409303294E-3</v>
      </c>
    </row>
    <row r="21" spans="3:19" ht="26.25" customHeight="1" x14ac:dyDescent="0.25">
      <c r="C21" s="75" t="s">
        <v>73</v>
      </c>
      <c r="D21" s="82">
        <f>ADT!G55</f>
        <v>1053.8571428571429</v>
      </c>
      <c r="E21" s="75" t="s">
        <v>76</v>
      </c>
      <c r="F21" s="82">
        <f>ADT!P55</f>
        <v>7.8571428571428568</v>
      </c>
      <c r="I21" s="71" t="s">
        <v>73</v>
      </c>
      <c r="J21" s="72">
        <f>Charts!C67</f>
        <v>4.8006715864277065E-2</v>
      </c>
      <c r="K21" s="93" t="s">
        <v>109</v>
      </c>
      <c r="L21" s="72">
        <f>Charts!C73</f>
        <v>6.4425442192807779E-4</v>
      </c>
    </row>
    <row r="22" spans="3:19" ht="22.5" customHeight="1" x14ac:dyDescent="0.25">
      <c r="C22" s="75" t="s">
        <v>74</v>
      </c>
      <c r="D22" s="82">
        <f>ADT!H55</f>
        <v>3406.4285714285716</v>
      </c>
      <c r="E22" s="76" t="s">
        <v>21</v>
      </c>
      <c r="F22" s="83">
        <f>ADT!U55</f>
        <v>21960.142857142859</v>
      </c>
      <c r="I22" s="86"/>
      <c r="J22" s="87"/>
      <c r="K22" s="86"/>
      <c r="L22" s="87"/>
      <c r="O22" s="88"/>
      <c r="P22" s="89"/>
      <c r="Q22" s="90"/>
      <c r="R22" s="91"/>
      <c r="S22" s="92"/>
    </row>
    <row r="23" spans="3:19" ht="16.5" customHeight="1" x14ac:dyDescent="0.25">
      <c r="C23" s="75" t="s">
        <v>82</v>
      </c>
      <c r="D23" s="82">
        <f>ADT!I55</f>
        <v>0</v>
      </c>
      <c r="E23" s="194" t="s">
        <v>22</v>
      </c>
      <c r="F23" s="195">
        <f>ADT!V55</f>
        <v>37135.857142857145</v>
      </c>
      <c r="I23" s="86"/>
      <c r="J23" s="87"/>
      <c r="K23" s="86"/>
      <c r="L23" s="87"/>
      <c r="O23" s="92"/>
      <c r="P23" s="92"/>
      <c r="Q23" s="92"/>
      <c r="R23" s="92"/>
      <c r="S23" s="92"/>
    </row>
    <row r="24" spans="3:19" x14ac:dyDescent="0.25">
      <c r="C24" s="75" t="s">
        <v>67</v>
      </c>
      <c r="D24" s="82">
        <f>ADT!J55</f>
        <v>6775.2857142857147</v>
      </c>
      <c r="E24" s="194"/>
      <c r="F24" s="196"/>
    </row>
    <row r="27" spans="3:19" x14ac:dyDescent="0.25">
      <c r="K27" s="191" t="s">
        <v>196</v>
      </c>
      <c r="L27" s="191"/>
    </row>
    <row r="28" spans="3:19" x14ac:dyDescent="0.25">
      <c r="D28" s="191" t="s">
        <v>192</v>
      </c>
      <c r="E28" s="191"/>
      <c r="I28" s="202" t="s">
        <v>193</v>
      </c>
      <c r="J28" s="202" t="s">
        <v>198</v>
      </c>
      <c r="K28" s="202" t="s">
        <v>168</v>
      </c>
      <c r="L28" s="202" t="s">
        <v>194</v>
      </c>
      <c r="M28" s="199" t="s">
        <v>99</v>
      </c>
      <c r="N28" s="200"/>
      <c r="O28" s="201"/>
    </row>
    <row r="29" spans="3:19" ht="26.4" x14ac:dyDescent="0.25">
      <c r="C29" s="77" t="s">
        <v>88</v>
      </c>
      <c r="D29" s="77" t="s">
        <v>233</v>
      </c>
      <c r="E29" s="77" t="s">
        <v>88</v>
      </c>
      <c r="F29" s="77" t="str">
        <f>D29</f>
        <v>Ranasthalam Toll Plaza</v>
      </c>
      <c r="I29" s="203"/>
      <c r="J29" s="203"/>
      <c r="K29" s="203"/>
      <c r="L29" s="203"/>
      <c r="M29" s="77" t="s">
        <v>2</v>
      </c>
      <c r="N29" s="77" t="s">
        <v>54</v>
      </c>
      <c r="O29" s="77" t="s">
        <v>195</v>
      </c>
    </row>
    <row r="30" spans="3:19" ht="26.4" x14ac:dyDescent="0.25">
      <c r="C30" s="75" t="s">
        <v>71</v>
      </c>
      <c r="D30" s="84">
        <f>ADT!B56</f>
        <v>5333.1514285714284</v>
      </c>
      <c r="E30" s="75" t="s">
        <v>70</v>
      </c>
      <c r="F30" s="84">
        <f>ADT!M56</f>
        <v>115</v>
      </c>
      <c r="I30" s="75">
        <v>1</v>
      </c>
      <c r="J30" s="78" t="s">
        <v>240</v>
      </c>
      <c r="K30" s="75" t="str">
        <f>Tables!B29</f>
        <v>Nathavalasa Toll Plaza</v>
      </c>
      <c r="L30" s="75" t="s">
        <v>241</v>
      </c>
      <c r="M30" s="75" t="str">
        <f>Tables!E29</f>
        <v>10:00-11:00</v>
      </c>
      <c r="N30" s="80">
        <f>Tables!C29</f>
        <v>2057.7142857142853</v>
      </c>
      <c r="O30" s="81">
        <f>Tables!D29</f>
        <v>5.5410442737285091E-2</v>
      </c>
    </row>
    <row r="31" spans="3:19" ht="13.5" customHeight="1" x14ac:dyDescent="0.25">
      <c r="C31" s="75" t="s">
        <v>79</v>
      </c>
      <c r="D31" s="84">
        <f>ADT!C56</f>
        <v>875.39571428571435</v>
      </c>
      <c r="E31" s="75" t="s">
        <v>64</v>
      </c>
      <c r="F31" s="84">
        <f>ADT!N56</f>
        <v>11.571428571428571</v>
      </c>
    </row>
    <row r="32" spans="3:19" x14ac:dyDescent="0.25">
      <c r="C32" s="75" t="s">
        <v>65</v>
      </c>
      <c r="D32" s="84">
        <f>ADT!D56</f>
        <v>842.1</v>
      </c>
      <c r="E32" s="75" t="s">
        <v>75</v>
      </c>
      <c r="F32" s="84">
        <f>ADT!O56</f>
        <v>2.3914285714285719</v>
      </c>
    </row>
    <row r="33" spans="3:6" x14ac:dyDescent="0.25">
      <c r="C33" s="75" t="s">
        <v>66</v>
      </c>
      <c r="D33" s="84">
        <f>ADT!E56</f>
        <v>1023.0000000000001</v>
      </c>
      <c r="E33" s="75" t="s">
        <v>76</v>
      </c>
      <c r="F33" s="84">
        <f>ADT!P56</f>
        <v>8.25</v>
      </c>
    </row>
    <row r="34" spans="3:6" x14ac:dyDescent="0.25">
      <c r="C34" s="75" t="s">
        <v>72</v>
      </c>
      <c r="D34" s="84">
        <f>ADT!F56</f>
        <v>906.00000000000011</v>
      </c>
      <c r="E34" s="79" t="s">
        <v>77</v>
      </c>
      <c r="F34" s="85">
        <f>Tables!B18</f>
        <v>12834</v>
      </c>
    </row>
    <row r="35" spans="3:6" x14ac:dyDescent="0.25">
      <c r="C35" s="75" t="s">
        <v>73</v>
      </c>
      <c r="D35" s="84">
        <f>ADT!G56</f>
        <v>1106.5500000000002</v>
      </c>
      <c r="E35" s="79" t="s">
        <v>78</v>
      </c>
      <c r="F35" s="85">
        <f>Tables!B19</f>
        <v>31900.928571428572</v>
      </c>
    </row>
    <row r="36" spans="3:6" x14ac:dyDescent="0.25">
      <c r="C36" s="75" t="s">
        <v>74</v>
      </c>
      <c r="D36" s="84">
        <f>ADT!H56</f>
        <v>3576.7500000000005</v>
      </c>
      <c r="E36" s="79" t="s">
        <v>89</v>
      </c>
      <c r="F36" s="85">
        <f>Tables!B20</f>
        <v>8184.8571428571431</v>
      </c>
    </row>
    <row r="37" spans="3:6" x14ac:dyDescent="0.25">
      <c r="C37" s="75" t="s">
        <v>82</v>
      </c>
      <c r="D37" s="84">
        <f>ADT!I56</f>
        <v>0</v>
      </c>
      <c r="E37" s="79" t="s">
        <v>90</v>
      </c>
      <c r="F37" s="85">
        <f>Tables!B21</f>
        <v>5199.5714285714294</v>
      </c>
    </row>
    <row r="38" spans="3:6" x14ac:dyDescent="0.25">
      <c r="C38" s="75" t="s">
        <v>67</v>
      </c>
      <c r="D38" s="84">
        <f>ADT!J56</f>
        <v>6301.0157142857151</v>
      </c>
      <c r="E38" s="79" t="s">
        <v>21</v>
      </c>
      <c r="F38" s="85">
        <f>Tables!B22</f>
        <v>21018.857142857145</v>
      </c>
    </row>
    <row r="39" spans="3:6" x14ac:dyDescent="0.25">
      <c r="C39" s="75" t="s">
        <v>68</v>
      </c>
      <c r="D39" s="84">
        <f>ADT!K56</f>
        <v>1163.1642857142858</v>
      </c>
      <c r="E39" s="189" t="s">
        <v>22</v>
      </c>
      <c r="F39" s="190">
        <f>Tables!B23</f>
        <v>37135.857142857145</v>
      </c>
    </row>
    <row r="40" spans="3:6" x14ac:dyDescent="0.25">
      <c r="C40" s="75" t="s">
        <v>69</v>
      </c>
      <c r="D40" s="84">
        <f>ADT!L56</f>
        <v>22.950000000000003</v>
      </c>
      <c r="E40" s="189"/>
      <c r="F40" s="189"/>
    </row>
  </sheetData>
  <mergeCells count="14">
    <mergeCell ref="E39:E40"/>
    <mergeCell ref="F39:F40"/>
    <mergeCell ref="D28:E28"/>
    <mergeCell ref="I2:M3"/>
    <mergeCell ref="E23:E24"/>
    <mergeCell ref="F23:F24"/>
    <mergeCell ref="D14:E14"/>
    <mergeCell ref="J14:K14"/>
    <mergeCell ref="M28:O28"/>
    <mergeCell ref="L28:L29"/>
    <mergeCell ref="K27:L27"/>
    <mergeCell ref="I28:I29"/>
    <mergeCell ref="J28:J29"/>
    <mergeCell ref="K28:K29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opLeftCell="A28" workbookViewId="0">
      <selection activeCell="F33" sqref="F33"/>
    </sheetView>
  </sheetViews>
  <sheetFormatPr defaultRowHeight="13.2" x14ac:dyDescent="0.25"/>
  <sheetData>
    <row r="1" spans="1:18" ht="50.4" thickBot="1" x14ac:dyDescent="0.3">
      <c r="A1" s="125" t="s">
        <v>35</v>
      </c>
      <c r="B1" s="126" t="s">
        <v>71</v>
      </c>
      <c r="C1" s="126" t="s">
        <v>79</v>
      </c>
      <c r="D1" s="126" t="s">
        <v>65</v>
      </c>
      <c r="E1" s="126" t="s">
        <v>66</v>
      </c>
      <c r="F1" s="126" t="s">
        <v>72</v>
      </c>
      <c r="G1" s="126" t="s">
        <v>73</v>
      </c>
      <c r="H1" s="126" t="s">
        <v>74</v>
      </c>
      <c r="I1" s="126" t="s">
        <v>82</v>
      </c>
      <c r="J1" s="126" t="s">
        <v>67</v>
      </c>
      <c r="K1" s="126" t="s">
        <v>68</v>
      </c>
      <c r="L1" s="126" t="s">
        <v>69</v>
      </c>
      <c r="M1" s="126" t="s">
        <v>70</v>
      </c>
      <c r="N1" s="126" t="s">
        <v>64</v>
      </c>
      <c r="O1" s="126" t="s">
        <v>75</v>
      </c>
      <c r="P1" s="126" t="s">
        <v>76</v>
      </c>
      <c r="Q1" s="126" t="s">
        <v>21</v>
      </c>
      <c r="R1" s="126" t="s">
        <v>22</v>
      </c>
    </row>
    <row r="2" spans="1:18" ht="13.8" thickBot="1" x14ac:dyDescent="0.3">
      <c r="A2" s="183" t="s">
        <v>204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184"/>
    </row>
    <row r="3" spans="1:18" ht="13.8" thickBot="1" x14ac:dyDescent="0.3">
      <c r="A3" s="132" t="s">
        <v>176</v>
      </c>
      <c r="B3" s="133">
        <f>'ADT Directionwise'!B6</f>
        <v>3164</v>
      </c>
      <c r="C3" s="133">
        <f>'ADT Directionwise'!C6</f>
        <v>436</v>
      </c>
      <c r="D3" s="133">
        <f>'ADT Directionwise'!D6</f>
        <v>323</v>
      </c>
      <c r="E3" s="133">
        <f>'ADT Directionwise'!E6</f>
        <v>368</v>
      </c>
      <c r="F3" s="133">
        <f>'ADT Directionwise'!F6</f>
        <v>353</v>
      </c>
      <c r="G3" s="133">
        <f>'ADT Directionwise'!G6</f>
        <v>422</v>
      </c>
      <c r="H3" s="133">
        <f>'ADT Directionwise'!H6</f>
        <v>1604</v>
      </c>
      <c r="I3" s="133">
        <f>'ADT Directionwise'!I6</f>
        <v>0</v>
      </c>
      <c r="J3" s="133">
        <f>'ADT Directionwise'!J6</f>
        <v>4451</v>
      </c>
      <c r="K3" s="133">
        <f>'ADT Directionwise'!K6</f>
        <v>838</v>
      </c>
      <c r="L3" s="133">
        <f>'ADT Directionwise'!L6</f>
        <v>11</v>
      </c>
      <c r="M3" s="133">
        <f>'ADT Directionwise'!M6</f>
        <v>42</v>
      </c>
      <c r="N3" s="133">
        <f>'ADT Directionwise'!N6</f>
        <v>15</v>
      </c>
      <c r="O3" s="133">
        <f>'ADT Directionwise'!O6</f>
        <v>0</v>
      </c>
      <c r="P3" s="133">
        <f>'ADT Directionwise'!P6</f>
        <v>2</v>
      </c>
      <c r="Q3" s="133">
        <f>'ADT Directionwise'!U6</f>
        <v>12029</v>
      </c>
      <c r="R3" s="133">
        <f>'ADT Directionwise'!V6</f>
        <v>18175.5</v>
      </c>
    </row>
    <row r="4" spans="1:18" ht="13.8" thickBot="1" x14ac:dyDescent="0.3">
      <c r="A4" s="132" t="s">
        <v>185</v>
      </c>
      <c r="B4" s="133">
        <f>'ADT Directionwise'!B7</f>
        <v>2389</v>
      </c>
      <c r="C4" s="133">
        <f>'ADT Directionwise'!C7</f>
        <v>451</v>
      </c>
      <c r="D4" s="133">
        <f>'ADT Directionwise'!D7</f>
        <v>396</v>
      </c>
      <c r="E4" s="133">
        <f>'ADT Directionwise'!E7</f>
        <v>522</v>
      </c>
      <c r="F4" s="133">
        <f>'ADT Directionwise'!F7</f>
        <v>362</v>
      </c>
      <c r="G4" s="133">
        <f>'ADT Directionwise'!G7</f>
        <v>431</v>
      </c>
      <c r="H4" s="133">
        <f>'ADT Directionwise'!H7</f>
        <v>1581</v>
      </c>
      <c r="I4" s="133">
        <f>'ADT Directionwise'!I7</f>
        <v>0</v>
      </c>
      <c r="J4" s="133">
        <f>'ADT Directionwise'!J7</f>
        <v>3253</v>
      </c>
      <c r="K4" s="133">
        <f>'ADT Directionwise'!K7</f>
        <v>623</v>
      </c>
      <c r="L4" s="133">
        <f>'ADT Directionwise'!L7</f>
        <v>11</v>
      </c>
      <c r="M4" s="133">
        <f>'ADT Directionwise'!M7</f>
        <v>69</v>
      </c>
      <c r="N4" s="133">
        <f>'ADT Directionwise'!N7</f>
        <v>0</v>
      </c>
      <c r="O4" s="133">
        <f>'ADT Directionwise'!O7</f>
        <v>2</v>
      </c>
      <c r="P4" s="133">
        <f>'ADT Directionwise'!P7</f>
        <v>5</v>
      </c>
      <c r="Q4" s="133">
        <f>'ADT Directionwise'!U7</f>
        <v>10095</v>
      </c>
      <c r="R4" s="133">
        <f>'ADT Directionwise'!V7</f>
        <v>17017.5</v>
      </c>
    </row>
    <row r="5" spans="1:18" ht="13.8" thickBot="1" x14ac:dyDescent="0.3">
      <c r="A5" s="132" t="s">
        <v>178</v>
      </c>
      <c r="B5" s="133">
        <f>'ADT Directionwise'!B8</f>
        <v>2490</v>
      </c>
      <c r="C5" s="133">
        <f>'ADT Directionwise'!C8</f>
        <v>465</v>
      </c>
      <c r="D5" s="133">
        <f>'ADT Directionwise'!D8</f>
        <v>429</v>
      </c>
      <c r="E5" s="133">
        <f>'ADT Directionwise'!E8</f>
        <v>530</v>
      </c>
      <c r="F5" s="133">
        <f>'ADT Directionwise'!F8</f>
        <v>280</v>
      </c>
      <c r="G5" s="133">
        <f>'ADT Directionwise'!G8</f>
        <v>529</v>
      </c>
      <c r="H5" s="133">
        <f>'ADT Directionwise'!H8</f>
        <v>1556</v>
      </c>
      <c r="I5" s="133">
        <f>'ADT Directionwise'!I8</f>
        <v>0</v>
      </c>
      <c r="J5" s="133">
        <f>'ADT Directionwise'!J8</f>
        <v>3307</v>
      </c>
      <c r="K5" s="133">
        <f>'ADT Directionwise'!K8</f>
        <v>684</v>
      </c>
      <c r="L5" s="133">
        <f>'ADT Directionwise'!L8</f>
        <v>2</v>
      </c>
      <c r="M5" s="133">
        <f>'ADT Directionwise'!M8</f>
        <v>70</v>
      </c>
      <c r="N5" s="133">
        <f>'ADT Directionwise'!N8</f>
        <v>0</v>
      </c>
      <c r="O5" s="133">
        <f>'ADT Directionwise'!O8</f>
        <v>8</v>
      </c>
      <c r="P5" s="133">
        <f>'ADT Directionwise'!P8</f>
        <v>2</v>
      </c>
      <c r="Q5" s="133">
        <f>'ADT Directionwise'!U8</f>
        <v>10352</v>
      </c>
      <c r="R5" s="133">
        <f>'ADT Directionwise'!V8</f>
        <v>17218.5</v>
      </c>
    </row>
    <row r="6" spans="1:18" ht="13.8" thickBot="1" x14ac:dyDescent="0.3">
      <c r="A6" s="132" t="s">
        <v>179</v>
      </c>
      <c r="B6" s="133">
        <f>'ADT Directionwise'!B9</f>
        <v>2695</v>
      </c>
      <c r="C6" s="133">
        <f>'ADT Directionwise'!C9</f>
        <v>510</v>
      </c>
      <c r="D6" s="133">
        <f>'ADT Directionwise'!D9</f>
        <v>436</v>
      </c>
      <c r="E6" s="133">
        <f>'ADT Directionwise'!E9</f>
        <v>446</v>
      </c>
      <c r="F6" s="133">
        <f>'ADT Directionwise'!F9</f>
        <v>478</v>
      </c>
      <c r="G6" s="133">
        <f>'ADT Directionwise'!G9</f>
        <v>444</v>
      </c>
      <c r="H6" s="133">
        <f>'ADT Directionwise'!H9</f>
        <v>1766</v>
      </c>
      <c r="I6" s="133">
        <f>'ADT Directionwise'!I9</f>
        <v>0</v>
      </c>
      <c r="J6" s="133">
        <f>'ADT Directionwise'!J9</f>
        <v>3315</v>
      </c>
      <c r="K6" s="133">
        <f>'ADT Directionwise'!K9</f>
        <v>684</v>
      </c>
      <c r="L6" s="133">
        <f>'ADT Directionwise'!L9</f>
        <v>4</v>
      </c>
      <c r="M6" s="133">
        <f>'ADT Directionwise'!M9</f>
        <v>58</v>
      </c>
      <c r="N6" s="133">
        <f>'ADT Directionwise'!N9</f>
        <v>8</v>
      </c>
      <c r="O6" s="133">
        <f>'ADT Directionwise'!O9</f>
        <v>4</v>
      </c>
      <c r="P6" s="133">
        <f>'ADT Directionwise'!P9</f>
        <v>1</v>
      </c>
      <c r="Q6" s="133">
        <f>'ADT Directionwise'!U9</f>
        <v>10849</v>
      </c>
      <c r="R6" s="133">
        <f>'ADT Directionwise'!V9</f>
        <v>18668</v>
      </c>
    </row>
    <row r="7" spans="1:18" ht="13.8" thickBot="1" x14ac:dyDescent="0.3">
      <c r="A7" s="132" t="s">
        <v>180</v>
      </c>
      <c r="B7" s="133">
        <f>'ADT Directionwise'!B10</f>
        <v>2417</v>
      </c>
      <c r="C7" s="133">
        <f>'ADT Directionwise'!C10</f>
        <v>465</v>
      </c>
      <c r="D7" s="133">
        <f>'ADT Directionwise'!D10</f>
        <v>428</v>
      </c>
      <c r="E7" s="133">
        <f>'ADT Directionwise'!E10</f>
        <v>589</v>
      </c>
      <c r="F7" s="133">
        <f>'ADT Directionwise'!F10</f>
        <v>399</v>
      </c>
      <c r="G7" s="133">
        <f>'ADT Directionwise'!G10</f>
        <v>440</v>
      </c>
      <c r="H7" s="133">
        <f>'ADT Directionwise'!H10</f>
        <v>1668</v>
      </c>
      <c r="I7" s="133">
        <f>'ADT Directionwise'!I10</f>
        <v>0</v>
      </c>
      <c r="J7" s="133">
        <f>'ADT Directionwise'!J10</f>
        <v>3496</v>
      </c>
      <c r="K7" s="133">
        <f>'ADT Directionwise'!K10</f>
        <v>681</v>
      </c>
      <c r="L7" s="133">
        <f>'ADT Directionwise'!L10</f>
        <v>5</v>
      </c>
      <c r="M7" s="133">
        <f>'ADT Directionwise'!M10</f>
        <v>56</v>
      </c>
      <c r="N7" s="133">
        <f>'ADT Directionwise'!N10</f>
        <v>0</v>
      </c>
      <c r="O7" s="133">
        <f>'ADT Directionwise'!O10</f>
        <v>0</v>
      </c>
      <c r="P7" s="133">
        <f>'ADT Directionwise'!P10</f>
        <v>5</v>
      </c>
      <c r="Q7" s="133">
        <f>'ADT Directionwise'!U10</f>
        <v>10649</v>
      </c>
      <c r="R7" s="133">
        <f>'ADT Directionwise'!V10</f>
        <v>17857.5</v>
      </c>
    </row>
    <row r="8" spans="1:18" ht="13.8" thickBot="1" x14ac:dyDescent="0.3">
      <c r="A8" s="132" t="s">
        <v>181</v>
      </c>
      <c r="B8" s="133">
        <f>'ADT Directionwise'!B11</f>
        <v>2968</v>
      </c>
      <c r="C8" s="133">
        <f>'ADT Directionwise'!C11</f>
        <v>466</v>
      </c>
      <c r="D8" s="133">
        <f>'ADT Directionwise'!D11</f>
        <v>433</v>
      </c>
      <c r="E8" s="133">
        <f>'ADT Directionwise'!E11</f>
        <v>563</v>
      </c>
      <c r="F8" s="133">
        <f>'ADT Directionwise'!F11</f>
        <v>442</v>
      </c>
      <c r="G8" s="133">
        <f>'ADT Directionwise'!G11</f>
        <v>527</v>
      </c>
      <c r="H8" s="133">
        <f>'ADT Directionwise'!H11</f>
        <v>1782</v>
      </c>
      <c r="I8" s="133">
        <f>'ADT Directionwise'!I11</f>
        <v>0</v>
      </c>
      <c r="J8" s="133">
        <f>'ADT Directionwise'!J11</f>
        <v>3150</v>
      </c>
      <c r="K8" s="133">
        <f>'ADT Directionwise'!K11</f>
        <v>670</v>
      </c>
      <c r="L8" s="133">
        <f>'ADT Directionwise'!L11</f>
        <v>13</v>
      </c>
      <c r="M8" s="133">
        <f>'ADT Directionwise'!M11</f>
        <v>72</v>
      </c>
      <c r="N8" s="133">
        <f>'ADT Directionwise'!N11</f>
        <v>2</v>
      </c>
      <c r="O8" s="133">
        <f>'ADT Directionwise'!O11</f>
        <v>2</v>
      </c>
      <c r="P8" s="133">
        <f>'ADT Directionwise'!P11</f>
        <v>2</v>
      </c>
      <c r="Q8" s="133">
        <f>'ADT Directionwise'!U11</f>
        <v>11092</v>
      </c>
      <c r="R8" s="133">
        <f>'ADT Directionwise'!V11</f>
        <v>19172</v>
      </c>
    </row>
    <row r="9" spans="1:18" ht="13.8" thickBot="1" x14ac:dyDescent="0.3">
      <c r="A9" s="132" t="s">
        <v>182</v>
      </c>
      <c r="B9" s="133">
        <f>'ADT Directionwise'!B12</f>
        <v>3318</v>
      </c>
      <c r="C9" s="133">
        <f>'ADT Directionwise'!C12</f>
        <v>458</v>
      </c>
      <c r="D9" s="133">
        <f>'ADT Directionwise'!D12</f>
        <v>430</v>
      </c>
      <c r="E9" s="133">
        <f>'ADT Directionwise'!E12</f>
        <v>465</v>
      </c>
      <c r="F9" s="133">
        <f>'ADT Directionwise'!F12</f>
        <v>346</v>
      </c>
      <c r="G9" s="133">
        <f>'ADT Directionwise'!G12</f>
        <v>339</v>
      </c>
      <c r="H9" s="133">
        <f>'ADT Directionwise'!H12</f>
        <v>2150</v>
      </c>
      <c r="I9" s="133">
        <f>'ADT Directionwise'!I12</f>
        <v>0</v>
      </c>
      <c r="J9" s="133">
        <f>'ADT Directionwise'!J12</f>
        <v>3989</v>
      </c>
      <c r="K9" s="133">
        <f>'ADT Directionwise'!K12</f>
        <v>576</v>
      </c>
      <c r="L9" s="133">
        <f>'ADT Directionwise'!L12</f>
        <v>36</v>
      </c>
      <c r="M9" s="133">
        <f>'ADT Directionwise'!M12</f>
        <v>53</v>
      </c>
      <c r="N9" s="133">
        <f>'ADT Directionwise'!N12</f>
        <v>5</v>
      </c>
      <c r="O9" s="133">
        <f>'ADT Directionwise'!O12</f>
        <v>0</v>
      </c>
      <c r="P9" s="133">
        <f>'ADT Directionwise'!P12</f>
        <v>6</v>
      </c>
      <c r="Q9" s="133">
        <f>'ADT Directionwise'!U12</f>
        <v>12171</v>
      </c>
      <c r="R9" s="133">
        <f>'ADT Directionwise'!V12</f>
        <v>20442</v>
      </c>
    </row>
    <row r="10" spans="1:18" ht="13.8" thickBot="1" x14ac:dyDescent="0.3">
      <c r="A10" s="205" t="s">
        <v>206</v>
      </c>
      <c r="B10" s="206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7"/>
    </row>
    <row r="11" spans="1:18" ht="13.8" thickBot="1" x14ac:dyDescent="0.3">
      <c r="A11" s="132" t="s">
        <v>176</v>
      </c>
      <c r="B11" s="133">
        <f>'ADT Directionwise'!B20</f>
        <v>3509</v>
      </c>
      <c r="C11" s="133">
        <f>'ADT Directionwise'!C20</f>
        <v>454</v>
      </c>
      <c r="D11" s="133">
        <f>'ADT Directionwise'!D20</f>
        <v>334</v>
      </c>
      <c r="E11" s="133">
        <f>'ADT Directionwise'!E20</f>
        <v>430</v>
      </c>
      <c r="F11" s="133">
        <f>'ADT Directionwise'!F20</f>
        <v>427</v>
      </c>
      <c r="G11" s="133">
        <f>'ADT Directionwise'!G20</f>
        <v>723</v>
      </c>
      <c r="H11" s="133">
        <f>'ADT Directionwise'!H20</f>
        <v>1355</v>
      </c>
      <c r="I11" s="133">
        <f>'ADT Directionwise'!I20</f>
        <v>0</v>
      </c>
      <c r="J11" s="133">
        <f>'ADT Directionwise'!J20</f>
        <v>3346</v>
      </c>
      <c r="K11" s="133">
        <f>'ADT Directionwise'!K20</f>
        <v>596</v>
      </c>
      <c r="L11" s="133">
        <f>'ADT Directionwise'!L20</f>
        <v>10</v>
      </c>
      <c r="M11" s="133">
        <f>'ADT Directionwise'!M20</f>
        <v>42</v>
      </c>
      <c r="N11" s="133">
        <f>'ADT Directionwise'!N20</f>
        <v>15</v>
      </c>
      <c r="O11" s="133">
        <f>'ADT Directionwise'!O20</f>
        <v>0</v>
      </c>
      <c r="P11" s="133">
        <f>'ADT Directionwise'!P20</f>
        <v>0</v>
      </c>
      <c r="Q11" s="133">
        <f>'ADT Directionwise'!U20</f>
        <v>11241</v>
      </c>
      <c r="R11" s="133">
        <f>'ADT Directionwise'!V20</f>
        <v>17878</v>
      </c>
    </row>
    <row r="12" spans="1:18" ht="13.8" thickBot="1" x14ac:dyDescent="0.3">
      <c r="A12" s="132" t="s">
        <v>185</v>
      </c>
      <c r="B12" s="133">
        <f>'ADT Directionwise'!B21</f>
        <v>2324</v>
      </c>
      <c r="C12" s="133">
        <f>'ADT Directionwise'!C21</f>
        <v>434</v>
      </c>
      <c r="D12" s="133">
        <f>'ADT Directionwise'!D21</f>
        <v>405</v>
      </c>
      <c r="E12" s="133">
        <f>'ADT Directionwise'!E21</f>
        <v>484</v>
      </c>
      <c r="F12" s="133">
        <f>'ADT Directionwise'!F21</f>
        <v>381</v>
      </c>
      <c r="G12" s="133">
        <f>'ADT Directionwise'!G21</f>
        <v>607</v>
      </c>
      <c r="H12" s="133">
        <f>'ADT Directionwise'!H21</f>
        <v>1352</v>
      </c>
      <c r="I12" s="133">
        <f>'ADT Directionwise'!I21</f>
        <v>0</v>
      </c>
      <c r="J12" s="133">
        <f>'ADT Directionwise'!J21</f>
        <v>2459</v>
      </c>
      <c r="K12" s="133">
        <f>'ADT Directionwise'!K21</f>
        <v>463</v>
      </c>
      <c r="L12" s="133">
        <f>'ADT Directionwise'!L21</f>
        <v>3</v>
      </c>
      <c r="M12" s="133">
        <f>'ADT Directionwise'!M21</f>
        <v>36</v>
      </c>
      <c r="N12" s="133">
        <f>'ADT Directionwise'!N21</f>
        <v>5</v>
      </c>
      <c r="O12" s="133">
        <f>'ADT Directionwise'!O21</f>
        <v>0</v>
      </c>
      <c r="P12" s="133">
        <f>'ADT Directionwise'!P21</f>
        <v>2</v>
      </c>
      <c r="Q12" s="133">
        <f>'ADT Directionwise'!U21</f>
        <v>9577</v>
      </c>
      <c r="R12" s="133">
        <f>'ADT Directionwise'!V21</f>
        <v>16837.5</v>
      </c>
    </row>
    <row r="13" spans="1:18" ht="13.8" thickBot="1" x14ac:dyDescent="0.3">
      <c r="A13" s="132" t="s">
        <v>178</v>
      </c>
      <c r="B13" s="133">
        <f>'ADT Directionwise'!B22</f>
        <v>2907</v>
      </c>
      <c r="C13" s="133">
        <f>'ADT Directionwise'!C22</f>
        <v>505</v>
      </c>
      <c r="D13" s="133">
        <f>'ADT Directionwise'!D22</f>
        <v>362</v>
      </c>
      <c r="E13" s="133">
        <f>'ADT Directionwise'!E22</f>
        <v>449</v>
      </c>
      <c r="F13" s="133">
        <f>'ADT Directionwise'!F22</f>
        <v>391</v>
      </c>
      <c r="G13" s="133">
        <f>'ADT Directionwise'!G22</f>
        <v>556</v>
      </c>
      <c r="H13" s="133">
        <f>'ADT Directionwise'!H22</f>
        <v>1779</v>
      </c>
      <c r="I13" s="133">
        <f>'ADT Directionwise'!I22</f>
        <v>0</v>
      </c>
      <c r="J13" s="133">
        <f>'ADT Directionwise'!J22</f>
        <v>2968</v>
      </c>
      <c r="K13" s="133">
        <f>'ADT Directionwise'!K22</f>
        <v>539</v>
      </c>
      <c r="L13" s="133">
        <f>'ADT Directionwise'!L22</f>
        <v>28</v>
      </c>
      <c r="M13" s="133">
        <f>'ADT Directionwise'!M22</f>
        <v>60</v>
      </c>
      <c r="N13" s="133">
        <f>'ADT Directionwise'!N22</f>
        <v>4</v>
      </c>
      <c r="O13" s="133">
        <f>'ADT Directionwise'!O22</f>
        <v>0</v>
      </c>
      <c r="P13" s="133">
        <f>'ADT Directionwise'!P22</f>
        <v>2</v>
      </c>
      <c r="Q13" s="133">
        <f>'ADT Directionwise'!U22</f>
        <v>10550</v>
      </c>
      <c r="R13" s="133">
        <f>'ADT Directionwise'!V22</f>
        <v>18650</v>
      </c>
    </row>
    <row r="14" spans="1:18" ht="13.8" thickBot="1" x14ac:dyDescent="0.3">
      <c r="A14" s="132" t="s">
        <v>179</v>
      </c>
      <c r="B14" s="133">
        <f>'ADT Directionwise'!B23</f>
        <v>2630</v>
      </c>
      <c r="C14" s="133">
        <f>'ADT Directionwise'!C23</f>
        <v>476</v>
      </c>
      <c r="D14" s="133">
        <f>'ADT Directionwise'!D23</f>
        <v>361</v>
      </c>
      <c r="E14" s="133">
        <f>'ADT Directionwise'!E23</f>
        <v>472</v>
      </c>
      <c r="F14" s="133">
        <f>'ADT Directionwise'!F23</f>
        <v>592</v>
      </c>
      <c r="G14" s="133">
        <f>'ADT Directionwise'!G23</f>
        <v>637</v>
      </c>
      <c r="H14" s="133">
        <f>'ADT Directionwise'!H23</f>
        <v>1305</v>
      </c>
      <c r="I14" s="133">
        <f>'ADT Directionwise'!I23</f>
        <v>0</v>
      </c>
      <c r="J14" s="133">
        <f>'ADT Directionwise'!J23</f>
        <v>3045</v>
      </c>
      <c r="K14" s="133">
        <f>'ADT Directionwise'!K23</f>
        <v>548</v>
      </c>
      <c r="L14" s="133">
        <f>'ADT Directionwise'!L23</f>
        <v>8</v>
      </c>
      <c r="M14" s="133">
        <f>'ADT Directionwise'!M23</f>
        <v>25</v>
      </c>
      <c r="N14" s="133">
        <f>'ADT Directionwise'!N23</f>
        <v>0</v>
      </c>
      <c r="O14" s="133">
        <f>'ADT Directionwise'!O23</f>
        <v>0</v>
      </c>
      <c r="P14" s="133">
        <f>'ADT Directionwise'!P23</f>
        <v>3</v>
      </c>
      <c r="Q14" s="133">
        <f>'ADT Directionwise'!U23</f>
        <v>10102</v>
      </c>
      <c r="R14" s="133">
        <f>'ADT Directionwise'!V23</f>
        <v>16895</v>
      </c>
    </row>
    <row r="15" spans="1:18" ht="13.8" thickBot="1" x14ac:dyDescent="0.3">
      <c r="A15" s="132" t="s">
        <v>180</v>
      </c>
      <c r="B15" s="133">
        <f>'ADT Directionwise'!B24</f>
        <v>2399</v>
      </c>
      <c r="C15" s="133">
        <f>'ADT Directionwise'!C24</f>
        <v>465</v>
      </c>
      <c r="D15" s="133">
        <f>'ADT Directionwise'!D24</f>
        <v>412</v>
      </c>
      <c r="E15" s="133">
        <f>'ADT Directionwise'!E24</f>
        <v>583</v>
      </c>
      <c r="F15" s="133">
        <f>'ADT Directionwise'!F24</f>
        <v>488</v>
      </c>
      <c r="G15" s="133">
        <f>'ADT Directionwise'!G24</f>
        <v>603</v>
      </c>
      <c r="H15" s="133">
        <f>'ADT Directionwise'!H24</f>
        <v>1667</v>
      </c>
      <c r="I15" s="133">
        <f>'ADT Directionwise'!I24</f>
        <v>0</v>
      </c>
      <c r="J15" s="133">
        <f>'ADT Directionwise'!J24</f>
        <v>3090</v>
      </c>
      <c r="K15" s="133">
        <f>'ADT Directionwise'!K24</f>
        <v>606</v>
      </c>
      <c r="L15" s="133">
        <f>'ADT Directionwise'!L24</f>
        <v>0</v>
      </c>
      <c r="M15" s="133">
        <f>'ADT Directionwise'!M24</f>
        <v>52</v>
      </c>
      <c r="N15" s="133">
        <f>'ADT Directionwise'!N24</f>
        <v>4</v>
      </c>
      <c r="O15" s="133">
        <f>'ADT Directionwise'!O24</f>
        <v>2</v>
      </c>
      <c r="P15" s="133">
        <f>'ADT Directionwise'!P24</f>
        <v>7</v>
      </c>
      <c r="Q15" s="133">
        <f>'ADT Directionwise'!U24</f>
        <v>10378</v>
      </c>
      <c r="R15" s="133">
        <f>'ADT Directionwise'!V24</f>
        <v>18277.5</v>
      </c>
    </row>
    <row r="16" spans="1:18" ht="13.8" thickBot="1" x14ac:dyDescent="0.3">
      <c r="A16" s="132" t="s">
        <v>181</v>
      </c>
      <c r="B16" s="133">
        <f>'ADT Directionwise'!B25</f>
        <v>2703</v>
      </c>
      <c r="C16" s="133">
        <f>'ADT Directionwise'!C25</f>
        <v>492</v>
      </c>
      <c r="D16" s="133">
        <f>'ADT Directionwise'!D25</f>
        <v>429</v>
      </c>
      <c r="E16" s="133">
        <f>'ADT Directionwise'!E25</f>
        <v>415</v>
      </c>
      <c r="F16" s="133">
        <f>'ADT Directionwise'!F25</f>
        <v>563</v>
      </c>
      <c r="G16" s="133">
        <f>'ADT Directionwise'!G25</f>
        <v>573</v>
      </c>
      <c r="H16" s="133">
        <f>'ADT Directionwise'!H25</f>
        <v>1845</v>
      </c>
      <c r="I16" s="133">
        <f>'ADT Directionwise'!I25</f>
        <v>0</v>
      </c>
      <c r="J16" s="133">
        <f>'ADT Directionwise'!J25</f>
        <v>3385</v>
      </c>
      <c r="K16" s="133">
        <f>'ADT Directionwise'!K25</f>
        <v>592</v>
      </c>
      <c r="L16" s="133">
        <f>'ADT Directionwise'!L25</f>
        <v>2</v>
      </c>
      <c r="M16" s="133">
        <f>'ADT Directionwise'!M25</f>
        <v>78</v>
      </c>
      <c r="N16" s="133">
        <f>'ADT Directionwise'!N25</f>
        <v>14</v>
      </c>
      <c r="O16" s="133">
        <f>'ADT Directionwise'!O25</f>
        <v>0</v>
      </c>
      <c r="P16" s="133">
        <f>'ADT Directionwise'!P25</f>
        <v>12</v>
      </c>
      <c r="Q16" s="133">
        <f>'ADT Directionwise'!U25</f>
        <v>11103</v>
      </c>
      <c r="R16" s="133">
        <f>'ADT Directionwise'!V25</f>
        <v>19640.5</v>
      </c>
    </row>
    <row r="17" spans="1:18" ht="13.8" thickBot="1" x14ac:dyDescent="0.3">
      <c r="A17" s="132" t="s">
        <v>182</v>
      </c>
      <c r="B17" s="133">
        <f>'ADT Directionwise'!B26</f>
        <v>4089</v>
      </c>
      <c r="C17" s="133">
        <f>'ADT Directionwise'!C26</f>
        <v>474</v>
      </c>
      <c r="D17" s="133">
        <f>'ADT Directionwise'!D26</f>
        <v>404</v>
      </c>
      <c r="E17" s="133">
        <f>'ADT Directionwise'!E26</f>
        <v>463</v>
      </c>
      <c r="F17" s="133">
        <f>'ADT Directionwise'!F26</f>
        <v>507</v>
      </c>
      <c r="G17" s="133">
        <f>'ADT Directionwise'!G26</f>
        <v>503</v>
      </c>
      <c r="H17" s="133">
        <f>'ADT Directionwise'!H26</f>
        <v>2346</v>
      </c>
      <c r="I17" s="133">
        <f>'ADT Directionwise'!I26</f>
        <v>0</v>
      </c>
      <c r="J17" s="133">
        <f>'ADT Directionwise'!J26</f>
        <v>4026</v>
      </c>
      <c r="K17" s="133">
        <f>'ADT Directionwise'!K26</f>
        <v>617</v>
      </c>
      <c r="L17" s="133">
        <f>'ADT Directionwise'!L26</f>
        <v>19</v>
      </c>
      <c r="M17" s="133">
        <f>'ADT Directionwise'!M26</f>
        <v>77</v>
      </c>
      <c r="N17" s="133">
        <f>'ADT Directionwise'!N26</f>
        <v>4</v>
      </c>
      <c r="O17" s="133">
        <f>'ADT Directionwise'!O26</f>
        <v>0</v>
      </c>
      <c r="P17" s="133">
        <f>'ADT Directionwise'!P26</f>
        <v>4</v>
      </c>
      <c r="Q17" s="133">
        <f>'ADT Directionwise'!U26</f>
        <v>13533</v>
      </c>
      <c r="R17" s="133">
        <f>'ADT Directionwise'!V26</f>
        <v>23221.5</v>
      </c>
    </row>
    <row r="18" spans="1:18" x14ac:dyDescent="0.25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</row>
    <row r="19" spans="1:18" x14ac:dyDescent="0.25">
      <c r="A19" s="86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</row>
    <row r="20" spans="1:18" x14ac:dyDescent="0.25">
      <c r="G20" s="131"/>
      <c r="H20" s="208"/>
      <c r="I20" s="208"/>
      <c r="J20" s="208"/>
      <c r="K20" s="208"/>
    </row>
    <row r="21" spans="1:18" x14ac:dyDescent="0.25">
      <c r="G21" s="86"/>
      <c r="H21" s="131"/>
      <c r="I21" s="131"/>
      <c r="J21" s="131"/>
      <c r="K21" s="131"/>
    </row>
    <row r="22" spans="1:18" x14ac:dyDescent="0.25">
      <c r="G22" s="86"/>
      <c r="H22" s="131"/>
      <c r="I22" s="131"/>
      <c r="J22" s="131"/>
      <c r="K22" s="131"/>
    </row>
    <row r="23" spans="1:18" x14ac:dyDescent="0.25">
      <c r="G23" s="86"/>
      <c r="H23" s="131"/>
      <c r="I23" s="131"/>
      <c r="J23" s="131"/>
      <c r="K23" s="131"/>
    </row>
    <row r="24" spans="1:18" x14ac:dyDescent="0.25">
      <c r="G24" s="86"/>
      <c r="H24" s="131"/>
      <c r="I24" s="131"/>
      <c r="J24" s="131"/>
      <c r="K24" s="131"/>
    </row>
    <row r="25" spans="1:18" x14ac:dyDescent="0.25">
      <c r="G25" s="86"/>
      <c r="H25" s="131"/>
      <c r="I25" s="131"/>
      <c r="J25" s="131"/>
      <c r="K25" s="131"/>
    </row>
    <row r="26" spans="1:18" x14ac:dyDescent="0.25">
      <c r="G26" s="86"/>
      <c r="H26" s="131"/>
      <c r="I26" s="131"/>
      <c r="J26" s="131"/>
      <c r="K26" s="131"/>
    </row>
    <row r="27" spans="1:18" x14ac:dyDescent="0.25">
      <c r="G27" s="86"/>
      <c r="H27" s="131"/>
      <c r="I27" s="131"/>
      <c r="J27" s="131"/>
      <c r="K27" s="131"/>
    </row>
    <row r="28" spans="1:18" x14ac:dyDescent="0.25">
      <c r="G28" s="131"/>
      <c r="H28" s="131"/>
      <c r="I28" s="131"/>
      <c r="J28" s="131"/>
      <c r="K28" s="131"/>
    </row>
    <row r="31" spans="1:18" ht="13.8" thickBot="1" x14ac:dyDescent="0.3"/>
    <row r="32" spans="1:18" ht="27" customHeight="1" thickBot="1" x14ac:dyDescent="0.3">
      <c r="E32" s="125" t="s">
        <v>35</v>
      </c>
      <c r="F32" s="209" t="str">
        <f>A2</f>
        <v>Ranasthalam to Anandapuram</v>
      </c>
      <c r="G32" s="210"/>
      <c r="H32" s="209" t="str">
        <f>A10</f>
        <v>Anandapuram to Ranasthalam</v>
      </c>
      <c r="I32" s="210"/>
    </row>
    <row r="33" spans="5:9" x14ac:dyDescent="0.25">
      <c r="E33" s="71" t="s">
        <v>176</v>
      </c>
      <c r="F33" s="127">
        <f>Q3</f>
        <v>12029</v>
      </c>
      <c r="G33" s="128"/>
      <c r="H33" s="127">
        <f>Q11</f>
        <v>11241</v>
      </c>
      <c r="I33" s="128"/>
    </row>
    <row r="34" spans="5:9" x14ac:dyDescent="0.25">
      <c r="E34" s="71" t="s">
        <v>185</v>
      </c>
      <c r="F34" s="129">
        <f t="shared" ref="F34:F39" si="0">Q4</f>
        <v>10095</v>
      </c>
      <c r="G34" s="130"/>
      <c r="H34" s="129">
        <f t="shared" ref="H34:H39" si="1">Q12</f>
        <v>9577</v>
      </c>
      <c r="I34" s="130"/>
    </row>
    <row r="35" spans="5:9" x14ac:dyDescent="0.25">
      <c r="E35" s="71" t="s">
        <v>178</v>
      </c>
      <c r="F35" s="129">
        <f t="shared" si="0"/>
        <v>10352</v>
      </c>
      <c r="G35" s="130"/>
      <c r="H35" s="129">
        <f t="shared" si="1"/>
        <v>10550</v>
      </c>
      <c r="I35" s="130"/>
    </row>
    <row r="36" spans="5:9" x14ac:dyDescent="0.25">
      <c r="E36" s="71" t="s">
        <v>179</v>
      </c>
      <c r="F36" s="129">
        <f t="shared" si="0"/>
        <v>10849</v>
      </c>
      <c r="G36" s="130"/>
      <c r="H36" s="129">
        <f t="shared" si="1"/>
        <v>10102</v>
      </c>
      <c r="I36" s="130"/>
    </row>
    <row r="37" spans="5:9" x14ac:dyDescent="0.25">
      <c r="E37" s="71" t="s">
        <v>180</v>
      </c>
      <c r="F37" s="129">
        <f t="shared" si="0"/>
        <v>10649</v>
      </c>
      <c r="G37" s="130"/>
      <c r="H37" s="129">
        <f t="shared" si="1"/>
        <v>10378</v>
      </c>
      <c r="I37" s="130"/>
    </row>
    <row r="38" spans="5:9" x14ac:dyDescent="0.25">
      <c r="E38" s="71" t="s">
        <v>181</v>
      </c>
      <c r="F38" s="129">
        <f t="shared" si="0"/>
        <v>11092</v>
      </c>
      <c r="G38" s="130"/>
      <c r="H38" s="129">
        <f t="shared" si="1"/>
        <v>11103</v>
      </c>
      <c r="I38" s="130"/>
    </row>
    <row r="39" spans="5:9" x14ac:dyDescent="0.25">
      <c r="E39" s="71" t="s">
        <v>182</v>
      </c>
      <c r="F39" s="129">
        <f t="shared" si="0"/>
        <v>12171</v>
      </c>
      <c r="G39" s="130"/>
      <c r="H39" s="129">
        <f t="shared" si="1"/>
        <v>13533</v>
      </c>
      <c r="I39" s="130"/>
    </row>
  </sheetData>
  <mergeCells count="6">
    <mergeCell ref="A2:R2"/>
    <mergeCell ref="A10:R10"/>
    <mergeCell ref="H20:I20"/>
    <mergeCell ref="J20:K20"/>
    <mergeCell ref="F32:G32"/>
    <mergeCell ref="H32:I32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Day-1</vt:lpstr>
      <vt:lpstr>Day-2</vt:lpstr>
      <vt:lpstr>Day-3</vt:lpstr>
      <vt:lpstr>Day-4</vt:lpstr>
      <vt:lpstr>Day-5</vt:lpstr>
      <vt:lpstr>Day-6</vt:lpstr>
      <vt:lpstr>Day-7</vt:lpstr>
      <vt:lpstr>ADT</vt:lpstr>
      <vt:lpstr>Tables</vt:lpstr>
      <vt:lpstr>Charts</vt:lpstr>
      <vt:lpstr>ADT Directionwise</vt:lpstr>
      <vt:lpstr>ADT Summary</vt:lpstr>
      <vt:lpstr>Info</vt:lpstr>
      <vt:lpstr>Sheet1</vt:lpstr>
      <vt:lpstr>Summary Direction wise</vt:lpstr>
      <vt:lpstr>ADT!Print_Area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Hasnuzama Shaik</dc:creator>
  <cp:lastModifiedBy>Guru Prasad Reddy</cp:lastModifiedBy>
  <cp:lastPrinted>2023-12-06T13:45:44Z</cp:lastPrinted>
  <dcterms:created xsi:type="dcterms:W3CDTF">2021-07-31T11:57:47Z</dcterms:created>
  <dcterms:modified xsi:type="dcterms:W3CDTF">2023-12-06T13:49:25Z</dcterms:modified>
</cp:coreProperties>
</file>